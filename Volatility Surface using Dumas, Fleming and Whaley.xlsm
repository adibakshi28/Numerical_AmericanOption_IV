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itya\Desktop\"/>
    </mc:Choice>
  </mc:AlternateContent>
  <xr:revisionPtr revIDLastSave="0" documentId="13_ncr:1_{655230F1-3097-4E8B-893C-27DEC4A9CA82}" xr6:coauthVersionLast="47" xr6:coauthVersionMax="47" xr10:uidLastSave="{00000000-0000-0000-0000-000000000000}"/>
  <bookViews>
    <workbookView xWindow="-108" yWindow="-108" windowWidth="23256" windowHeight="12456" tabRatio="500" firstSheet="12" activeTab="12" xr2:uid="{00000000-000D-0000-FFFF-FFFF00000000}"/>
  </bookViews>
  <sheets>
    <sheet name="Oct 30 2015" sheetId="1" r:id="rId1"/>
    <sheet name="Nov 17, 2015" sheetId="2" r:id="rId2"/>
    <sheet name="Dec 18, 2015" sheetId="3" r:id="rId3"/>
    <sheet name="February 19, 2016" sheetId="4" r:id="rId4"/>
    <sheet name="April 15, 2016" sheetId="5" r:id="rId5"/>
    <sheet name="June 17, 2016" sheetId="6" r:id="rId6"/>
    <sheet name="Refine 1" sheetId="7" r:id="rId7"/>
    <sheet name="Refine 2" sheetId="8" r:id="rId8"/>
    <sheet name="Refine 3" sheetId="9" r:id="rId9"/>
    <sheet name="Refine 4" sheetId="10" r:id="rId10"/>
    <sheet name="Refine 5" sheetId="11" r:id="rId11"/>
    <sheet name="Estimating Dumas Fleming Whaley" sheetId="12" r:id="rId12"/>
    <sheet name="Surface" sheetId="13" r:id="rId13"/>
  </sheets>
  <functionGroups builtInGroupCount="19"/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5" i="13" l="1"/>
  <c r="X21" i="13"/>
  <c r="Y21" i="13"/>
  <c r="Z21" i="13"/>
  <c r="AA21" i="13"/>
  <c r="AB21" i="13"/>
  <c r="AC21" i="13"/>
  <c r="AD21" i="13"/>
  <c r="AE21" i="13"/>
  <c r="X22" i="13"/>
  <c r="Y22" i="13"/>
  <c r="Z22" i="13"/>
  <c r="AA22" i="13"/>
  <c r="AB22" i="13"/>
  <c r="AC22" i="13"/>
  <c r="AD22" i="13"/>
  <c r="AE22" i="13"/>
  <c r="X23" i="13"/>
  <c r="Y23" i="13"/>
  <c r="Z23" i="13"/>
  <c r="AA23" i="13"/>
  <c r="AB23" i="13"/>
  <c r="AC23" i="13"/>
  <c r="AD23" i="13"/>
  <c r="AE23" i="13"/>
  <c r="X24" i="13"/>
  <c r="Y24" i="13"/>
  <c r="Z24" i="13"/>
  <c r="AA24" i="13"/>
  <c r="AB24" i="13"/>
  <c r="AC24" i="13"/>
  <c r="AD24" i="13"/>
  <c r="AE24" i="13"/>
  <c r="X25" i="13"/>
  <c r="Y25" i="13"/>
  <c r="Z25" i="13"/>
  <c r="AA25" i="13"/>
  <c r="AB25" i="13"/>
  <c r="AC25" i="13"/>
  <c r="AD25" i="13"/>
  <c r="AE25" i="13"/>
  <c r="X26" i="13"/>
  <c r="Y26" i="13"/>
  <c r="Z26" i="13"/>
  <c r="AA26" i="13"/>
  <c r="AB26" i="13"/>
  <c r="AC26" i="13"/>
  <c r="AD26" i="13"/>
  <c r="AE26" i="13"/>
  <c r="X27" i="13"/>
  <c r="Y27" i="13"/>
  <c r="Z27" i="13"/>
  <c r="AA27" i="13"/>
  <c r="AB27" i="13"/>
  <c r="AC27" i="13"/>
  <c r="AD27" i="13"/>
  <c r="AE27" i="13"/>
  <c r="X28" i="13"/>
  <c r="Y28" i="13"/>
  <c r="Z28" i="13"/>
  <c r="AA28" i="13"/>
  <c r="AB28" i="13"/>
  <c r="AC28" i="13"/>
  <c r="AD28" i="13"/>
  <c r="AE28" i="13"/>
  <c r="X29" i="13"/>
  <c r="Y29" i="13"/>
  <c r="Z29" i="13"/>
  <c r="AA29" i="13"/>
  <c r="AB29" i="13"/>
  <c r="AC29" i="13"/>
  <c r="AD29" i="13"/>
  <c r="AE29" i="13"/>
  <c r="X30" i="13"/>
  <c r="Y30" i="13"/>
  <c r="Z30" i="13"/>
  <c r="AA30" i="13"/>
  <c r="AB30" i="13"/>
  <c r="AC30" i="13"/>
  <c r="AD30" i="13"/>
  <c r="AE30" i="13"/>
  <c r="AE20" i="13"/>
  <c r="Y20" i="13"/>
  <c r="Z20" i="13"/>
  <c r="AA20" i="13"/>
  <c r="AB20" i="13"/>
  <c r="AC20" i="13"/>
  <c r="AD20" i="13"/>
  <c r="O15" i="13"/>
  <c r="Q15" i="13"/>
  <c r="R15" i="13"/>
  <c r="N5" i="13" a="1"/>
  <c r="S5" i="13"/>
  <c r="R5" i="13"/>
  <c r="Q5" i="13"/>
  <c r="P5" i="13"/>
  <c r="O5" i="13"/>
  <c r="N5" i="13"/>
  <c r="N18" i="13"/>
  <c r="O20" i="13"/>
  <c r="S11" i="13"/>
  <c r="R11" i="13"/>
  <c r="Q11" i="13"/>
  <c r="P11" i="13"/>
  <c r="O11" i="13"/>
  <c r="N11" i="13"/>
  <c r="S10" i="13"/>
  <c r="R10" i="13"/>
  <c r="Q10" i="13"/>
  <c r="P10" i="13"/>
  <c r="O10" i="13"/>
  <c r="N10" i="13"/>
  <c r="S9" i="13"/>
  <c r="R9" i="13"/>
  <c r="Q9" i="13"/>
  <c r="P9" i="13"/>
  <c r="O9" i="13"/>
  <c r="N9" i="13"/>
  <c r="S8" i="13"/>
  <c r="R8" i="13"/>
  <c r="Q8" i="13"/>
  <c r="P8" i="13"/>
  <c r="O8" i="13"/>
  <c r="N8" i="13"/>
  <c r="S7" i="13"/>
  <c r="R7" i="13"/>
  <c r="Q7" i="13"/>
  <c r="P7" i="13"/>
  <c r="O7" i="13"/>
  <c r="N7" i="13"/>
  <c r="S6" i="13"/>
  <c r="R6" i="13"/>
  <c r="Q6" i="13"/>
  <c r="P6" i="13"/>
  <c r="O6" i="13"/>
  <c r="N6" i="13"/>
  <c r="N5" i="12" a="1"/>
  <c r="S5" i="12"/>
  <c r="R5" i="12"/>
  <c r="Q5" i="12"/>
  <c r="P5" i="12"/>
  <c r="O5" i="12"/>
  <c r="N5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N6" i="12"/>
  <c r="O6" i="12"/>
  <c r="P6" i="12"/>
  <c r="Q6" i="12"/>
  <c r="R6" i="12"/>
  <c r="S6" i="12"/>
  <c r="N7" i="12"/>
  <c r="O7" i="12"/>
  <c r="P7" i="12"/>
  <c r="Q7" i="12"/>
  <c r="R7" i="12"/>
  <c r="S7" i="12"/>
  <c r="N8" i="12"/>
  <c r="O8" i="12"/>
  <c r="P8" i="12"/>
  <c r="Q8" i="12"/>
  <c r="R8" i="12"/>
  <c r="S8" i="12"/>
  <c r="N9" i="12"/>
  <c r="O9" i="12"/>
  <c r="P9" i="12"/>
  <c r="Q9" i="12"/>
  <c r="R9" i="12"/>
  <c r="S9" i="12"/>
  <c r="N10" i="12"/>
  <c r="O10" i="12"/>
  <c r="P10" i="12"/>
  <c r="Q10" i="12"/>
  <c r="R10" i="12"/>
  <c r="S10" i="12"/>
  <c r="N11" i="12"/>
  <c r="O11" i="12"/>
  <c r="P11" i="12"/>
  <c r="Q11" i="12"/>
  <c r="R11" i="12"/>
  <c r="S11" i="12"/>
  <c r="H6" i="11"/>
  <c r="J6" i="11"/>
  <c r="L6" i="11"/>
  <c r="H7" i="11"/>
  <c r="J7" i="11"/>
  <c r="L7" i="11"/>
  <c r="H8" i="11"/>
  <c r="J8" i="11"/>
  <c r="L8" i="11"/>
  <c r="H9" i="11"/>
  <c r="J9" i="11"/>
  <c r="L9" i="11"/>
  <c r="H10" i="11"/>
  <c r="J10" i="11"/>
  <c r="L10" i="11"/>
  <c r="H11" i="11"/>
  <c r="J11" i="11"/>
  <c r="L11" i="11"/>
  <c r="H12" i="11"/>
  <c r="J12" i="11"/>
  <c r="L12" i="11"/>
  <c r="H13" i="11"/>
  <c r="J13" i="11"/>
  <c r="L13" i="11"/>
  <c r="H14" i="11"/>
  <c r="J14" i="11"/>
  <c r="L14" i="11"/>
  <c r="H15" i="11"/>
  <c r="J15" i="11"/>
  <c r="L15" i="11"/>
  <c r="H16" i="11"/>
  <c r="J16" i="11"/>
  <c r="L16" i="11"/>
  <c r="H17" i="11"/>
  <c r="J17" i="11"/>
  <c r="L17" i="11"/>
  <c r="H18" i="11"/>
  <c r="J18" i="11"/>
  <c r="L18" i="11"/>
  <c r="H19" i="11"/>
  <c r="J19" i="11"/>
  <c r="L19" i="11"/>
  <c r="H20" i="11"/>
  <c r="J20" i="11"/>
  <c r="L20" i="11"/>
  <c r="H21" i="11"/>
  <c r="J21" i="11"/>
  <c r="L21" i="11"/>
  <c r="H22" i="11"/>
  <c r="J22" i="11"/>
  <c r="L22" i="11"/>
  <c r="H23" i="11"/>
  <c r="J23" i="11"/>
  <c r="L23" i="11"/>
  <c r="H24" i="11"/>
  <c r="J24" i="11"/>
  <c r="L24" i="11"/>
  <c r="H25" i="11"/>
  <c r="J25" i="11"/>
  <c r="L25" i="11"/>
  <c r="H26" i="11"/>
  <c r="J26" i="11"/>
  <c r="L26" i="11"/>
  <c r="H27" i="11"/>
  <c r="J27" i="11"/>
  <c r="L27" i="11"/>
  <c r="H28" i="11"/>
  <c r="J28" i="11"/>
  <c r="L28" i="11"/>
  <c r="H29" i="11"/>
  <c r="J29" i="11"/>
  <c r="L29" i="11"/>
  <c r="H30" i="11"/>
  <c r="J30" i="11"/>
  <c r="L30" i="11"/>
  <c r="H31" i="11"/>
  <c r="J31" i="11"/>
  <c r="L31" i="11"/>
  <c r="H32" i="11"/>
  <c r="J32" i="11"/>
  <c r="L32" i="11"/>
  <c r="H33" i="11"/>
  <c r="J33" i="11"/>
  <c r="L33" i="11"/>
  <c r="H34" i="11"/>
  <c r="J34" i="11"/>
  <c r="L34" i="11"/>
  <c r="H35" i="11"/>
  <c r="J35" i="11"/>
  <c r="L35" i="11"/>
  <c r="H36" i="11"/>
  <c r="J36" i="11"/>
  <c r="L36" i="11"/>
  <c r="H37" i="11"/>
  <c r="J37" i="11"/>
  <c r="L37" i="11"/>
  <c r="H38" i="11"/>
  <c r="J38" i="11"/>
  <c r="L38" i="11"/>
  <c r="H39" i="11"/>
  <c r="J39" i="11"/>
  <c r="L39" i="11"/>
  <c r="H40" i="11"/>
  <c r="J40" i="11"/>
  <c r="L40" i="11"/>
  <c r="H41" i="11"/>
  <c r="J41" i="11"/>
  <c r="L41" i="11"/>
  <c r="H42" i="11"/>
  <c r="J42" i="11"/>
  <c r="L42" i="11"/>
  <c r="H43" i="11"/>
  <c r="J43" i="11"/>
  <c r="L43" i="11"/>
  <c r="H44" i="11"/>
  <c r="J44" i="11"/>
  <c r="L44" i="11"/>
  <c r="H45" i="11"/>
  <c r="J45" i="11"/>
  <c r="L45" i="11"/>
  <c r="H46" i="11"/>
  <c r="J46" i="11"/>
  <c r="L46" i="11"/>
  <c r="H47" i="11"/>
  <c r="J47" i="11"/>
  <c r="L47" i="11"/>
  <c r="H48" i="11"/>
  <c r="J48" i="11"/>
  <c r="L48" i="11"/>
  <c r="H49" i="11"/>
  <c r="J49" i="11"/>
  <c r="L49" i="11"/>
  <c r="H50" i="11"/>
  <c r="J50" i="11"/>
  <c r="L50" i="11"/>
  <c r="H51" i="11"/>
  <c r="J51" i="11"/>
  <c r="L51" i="11"/>
  <c r="H52" i="11"/>
  <c r="J52" i="11"/>
  <c r="L52" i="11"/>
  <c r="H53" i="11"/>
  <c r="J53" i="11"/>
  <c r="L53" i="11"/>
  <c r="H54" i="11"/>
  <c r="J54" i="11"/>
  <c r="L54" i="11"/>
  <c r="H55" i="11"/>
  <c r="J55" i="11"/>
  <c r="L55" i="11"/>
  <c r="H56" i="11"/>
  <c r="J56" i="11"/>
  <c r="L56" i="11"/>
  <c r="H5" i="11"/>
  <c r="J5" i="11"/>
  <c r="L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" i="11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2" i="10"/>
  <c r="F30" i="9"/>
  <c r="F2" i="9"/>
  <c r="F59" i="9"/>
  <c r="F60" i="9"/>
  <c r="F61" i="9"/>
  <c r="F62" i="9"/>
  <c r="F63" i="9"/>
  <c r="F64" i="9"/>
  <c r="F65" i="9"/>
  <c r="F66" i="9"/>
  <c r="F67" i="9"/>
  <c r="F68" i="9"/>
  <c r="F69" i="9"/>
  <c r="F70" i="9"/>
  <c r="F58" i="9"/>
  <c r="F46" i="9"/>
  <c r="F47" i="9"/>
  <c r="F48" i="9"/>
  <c r="F49" i="9"/>
  <c r="F50" i="9"/>
  <c r="F51" i="9"/>
  <c r="F52" i="9"/>
  <c r="F53" i="9"/>
  <c r="F54" i="9"/>
  <c r="F55" i="9"/>
  <c r="F56" i="9"/>
  <c r="F45" i="9"/>
  <c r="F44" i="9"/>
  <c r="F32" i="9"/>
  <c r="F33" i="9"/>
  <c r="F34" i="9"/>
  <c r="F35" i="9"/>
  <c r="F36" i="9"/>
  <c r="F37" i="9"/>
  <c r="F38" i="9"/>
  <c r="F39" i="9"/>
  <c r="F40" i="9"/>
  <c r="F41" i="9"/>
  <c r="F42" i="9"/>
  <c r="F31" i="9"/>
  <c r="F17" i="9"/>
  <c r="F18" i="9"/>
  <c r="F19" i="9"/>
  <c r="F20" i="9"/>
  <c r="F21" i="9"/>
  <c r="F22" i="9"/>
  <c r="F23" i="9"/>
  <c r="F24" i="9"/>
  <c r="F25" i="9"/>
  <c r="F26" i="9"/>
  <c r="F27" i="9"/>
  <c r="F28" i="9"/>
  <c r="F16" i="9"/>
  <c r="F3" i="9"/>
  <c r="F4" i="9"/>
  <c r="F5" i="9"/>
  <c r="F6" i="9"/>
  <c r="F7" i="9"/>
  <c r="F8" i="9"/>
  <c r="F9" i="9"/>
  <c r="F10" i="9"/>
  <c r="F11" i="9"/>
  <c r="F12" i="9"/>
  <c r="F13" i="9"/>
  <c r="F14" i="9"/>
</calcChain>
</file>

<file path=xl/sharedStrings.xml><?xml version="1.0" encoding="utf-8"?>
<sst xmlns="http://schemas.openxmlformats.org/spreadsheetml/2006/main" count="729" uniqueCount="324">
  <si>
    <t>Oct 30, 2015</t>
  </si>
  <si>
    <t>S</t>
  </si>
  <si>
    <t>Calls</t>
  </si>
  <si>
    <t>Oct 23, 2015.</t>
  </si>
  <si>
    <t>Strike</t>
  </si>
  <si>
    <t>Contract Name</t>
  </si>
  <si>
    <t>Last</t>
  </si>
  <si>
    <t>Bid</t>
  </si>
  <si>
    <t>Ask</t>
  </si>
  <si>
    <t>Change</t>
  </si>
  <si>
    <t>%Change</t>
  </si>
  <si>
    <t>Volume</t>
  </si>
  <si>
    <t>Open Interest</t>
  </si>
  <si>
    <t>Implied Volatility</t>
  </si>
  <si>
    <t></t>
  </si>
  <si>
    <r>
      <t>∵</t>
    </r>
    <r>
      <rPr>
        <sz val="11"/>
        <color rgb="FF858585"/>
        <rFont val="Helvetica Neue"/>
      </rPr>
      <t> Filter</t>
    </r>
  </si>
  <si>
    <t>AAPL160617C00055000</t>
  </si>
  <si>
    <t>AAPL160617C00060000</t>
  </si>
  <si>
    <t>AAPL160617C00065000</t>
  </si>
  <si>
    <t>AAPL160617C00070000</t>
  </si>
  <si>
    <t>AAPL160617C00075000</t>
  </si>
  <si>
    <t>AAPL160617C00080000</t>
  </si>
  <si>
    <t>AAPL160617C00085000</t>
  </si>
  <si>
    <t>AAPL160617C00090000</t>
  </si>
  <si>
    <t>AAPL160617C00095000</t>
  </si>
  <si>
    <t>AAPL160617C00100000</t>
  </si>
  <si>
    <t>AAPL160617C00105000</t>
  </si>
  <si>
    <t>AAPL160617C00110000</t>
  </si>
  <si>
    <t>AAPL160617C00115000</t>
  </si>
  <si>
    <t>AAPL160617C00120000</t>
  </si>
  <si>
    <t>AAPL160617C00125000</t>
  </si>
  <si>
    <t>AAPL160617C00130000</t>
  </si>
  <si>
    <t>AAPL160617C00135000</t>
  </si>
  <si>
    <t>AAPL160617C00140000</t>
  </si>
  <si>
    <t>AAPL160617C00145000</t>
  </si>
  <si>
    <t>AAPL160617C00150000</t>
  </si>
  <si>
    <t>AAPL160617C00155000</t>
  </si>
  <si>
    <t>AAPL160617C00160000</t>
  </si>
  <si>
    <t>AAPL160617C00165000</t>
  </si>
  <si>
    <t>AAPL160617C00170000</t>
  </si>
  <si>
    <t>AAPL160617C00175000</t>
  </si>
  <si>
    <t>AAPL160617C00180000</t>
  </si>
  <si>
    <t>AAPL160617C00185000</t>
  </si>
  <si>
    <t>AAPL160617C00190000</t>
  </si>
  <si>
    <t>AAPL160617C00195000</t>
  </si>
  <si>
    <t>Puts</t>
  </si>
  <si>
    <t>AAPL160617P00055000</t>
  </si>
  <si>
    <t>AAPL160617P00060000</t>
  </si>
  <si>
    <t>AAPL160617P00065000</t>
  </si>
  <si>
    <t>AAPL160617P00070000</t>
  </si>
  <si>
    <t>AAPL160617P00075000</t>
  </si>
  <si>
    <t>AAPL160617P00080000</t>
  </si>
  <si>
    <t>AAPL160617P00085000</t>
  </si>
  <si>
    <t>AAPL160617P00090000</t>
  </si>
  <si>
    <t>AAPL160617P00095000</t>
  </si>
  <si>
    <t>AAPL160617P00100000</t>
  </si>
  <si>
    <t>AAPL160617P00105000</t>
  </si>
  <si>
    <t>AAPL160617P00110000</t>
  </si>
  <si>
    <t>AAPL160617P00115000</t>
  </si>
  <si>
    <t>AAPL160617P00120000</t>
  </si>
  <si>
    <t>AAPL160617P00125000</t>
  </si>
  <si>
    <t>AAPL160617P00130000</t>
  </si>
  <si>
    <t>AAPL160617P00135000</t>
  </si>
  <si>
    <t>AAPL160617P00140000</t>
  </si>
  <si>
    <t>AAPL160617P00145000</t>
  </si>
  <si>
    <t>AAPL160617P00150000</t>
  </si>
  <si>
    <t>AAPL160617P00155000</t>
  </si>
  <si>
    <t>AAPL160617P00160000</t>
  </si>
  <si>
    <t>AAPL160617P00165000</t>
  </si>
  <si>
    <t>AAPL160617P00170000</t>
  </si>
  <si>
    <t>AAPL160617P00175000</t>
  </si>
  <si>
    <t>AAPL160617P00180000</t>
  </si>
  <si>
    <t>AAPL160617P00185000</t>
  </si>
  <si>
    <t>AAPL160617P00195000</t>
  </si>
  <si>
    <t>Nov 27, 2015</t>
  </si>
  <si>
    <t>AAPL151127C00090000</t>
  </si>
  <si>
    <t>AAPL151127C00095000</t>
  </si>
  <si>
    <t>AAPL151127C00096000</t>
  </si>
  <si>
    <t>AAPL151127C00097000</t>
  </si>
  <si>
    <t>AAPL151127C00098500</t>
  </si>
  <si>
    <t>AAPL151127C00099500</t>
  </si>
  <si>
    <t>AAPL151127C00100000</t>
  </si>
  <si>
    <t>AAPL151127C00101000</t>
  </si>
  <si>
    <t>AAPL151127C00102000</t>
  </si>
  <si>
    <t>AAPL151127C00103000</t>
  </si>
  <si>
    <t>AAPL151127C00104000</t>
  </si>
  <si>
    <t>AAPL151127C00105000</t>
  </si>
  <si>
    <t>AAPL151127C00106000</t>
  </si>
  <si>
    <t>AAPL151127C00107000</t>
  </si>
  <si>
    <t>AAPL151127C00108000</t>
  </si>
  <si>
    <t>AAPL151127C00109000</t>
  </si>
  <si>
    <t>AAPL151127C00110000</t>
  </si>
  <si>
    <t>AAPL151127C00111000</t>
  </si>
  <si>
    <t>AAPL151127C00112000</t>
  </si>
  <si>
    <t>AAPL151127C00113000</t>
  </si>
  <si>
    <t>AAPL151127C00114000</t>
  </si>
  <si>
    <t>AAPL151127C00115000</t>
  </si>
  <si>
    <t>AAPL151127C00116000</t>
  </si>
  <si>
    <t>AAPL151127C00117000</t>
  </si>
  <si>
    <t>AAPL151127C00118000</t>
  </si>
  <si>
    <t>AAPL151127C00119000</t>
  </si>
  <si>
    <t>AAPL151127C00120000</t>
  </si>
  <si>
    <t>AAPL151127C00121000</t>
  </si>
  <si>
    <t>AAPL151127C00122000</t>
  </si>
  <si>
    <t>AAPL151127C00123000</t>
  </si>
  <si>
    <t>AAPL151127C00124000</t>
  </si>
  <si>
    <t>AAPL151127C00125000</t>
  </si>
  <si>
    <t>AAPL151127C00130000</t>
  </si>
  <si>
    <t>AAPL151127C00135000</t>
  </si>
  <si>
    <t>AAPL151127P00070000</t>
  </si>
  <si>
    <t>AAPL151127P00075000</t>
  </si>
  <si>
    <t>AAPL151127P00080000</t>
  </si>
  <si>
    <t>AAPL151127P00085000</t>
  </si>
  <si>
    <t>AAPL151127P00090000</t>
  </si>
  <si>
    <t>AAPL151127P00095000</t>
  </si>
  <si>
    <t>AAPL151127P00096000</t>
  </si>
  <si>
    <t>AAPL151127P00097000</t>
  </si>
  <si>
    <t>AAPL151127P00098000</t>
  </si>
  <si>
    <t>AAPL151127P00098500</t>
  </si>
  <si>
    <t>AAPL151127P00099000</t>
  </si>
  <si>
    <t>AAPL151127P00099500</t>
  </si>
  <si>
    <t>AAPL151127P00100000</t>
  </si>
  <si>
    <t>AAPL151127P00101000</t>
  </si>
  <si>
    <t>AAPL151127P00102000</t>
  </si>
  <si>
    <t>AAPL151127P00103000</t>
  </si>
  <si>
    <t>AAPL151127P00104000</t>
  </si>
  <si>
    <t>AAPL151127P00105000</t>
  </si>
  <si>
    <t>AAPL151127P00106000</t>
  </si>
  <si>
    <t>AAPL151127P00107000</t>
  </si>
  <si>
    <t>AAPL151127P00108000</t>
  </si>
  <si>
    <t>AAPL151127P00109000</t>
  </si>
  <si>
    <t>AAPL151127P00110000</t>
  </si>
  <si>
    <t>AAPL151127P00111000</t>
  </si>
  <si>
    <t>AAPL151127P00112000</t>
  </si>
  <si>
    <t>AAPL151127P00113000</t>
  </si>
  <si>
    <t>AAPL151127P00114000</t>
  </si>
  <si>
    <t>AAPL151127P00115000</t>
  </si>
  <si>
    <t>AAPL151127P00116000</t>
  </si>
  <si>
    <t>AAPL151127P00117000</t>
  </si>
  <si>
    <t>AAPL151127P00118000</t>
  </si>
  <si>
    <t>AAPL151127P00119000</t>
  </si>
  <si>
    <t>AAPL151127P00120000</t>
  </si>
  <si>
    <t>AAPL151127P00121000</t>
  </si>
  <si>
    <t>AAPL151127P00122000</t>
  </si>
  <si>
    <t>AAPL151127P00123000</t>
  </si>
  <si>
    <t>AAPL151127P00124000</t>
  </si>
  <si>
    <t>AAPL151127P00125000</t>
  </si>
  <si>
    <t>AAPL151127P00130000</t>
  </si>
  <si>
    <t>AAPL151127P00135000</t>
  </si>
  <si>
    <t>Oct 23, 2015</t>
  </si>
  <si>
    <t>Dec 18 2015</t>
  </si>
  <si>
    <t>AAPL151218C00055000</t>
  </si>
  <si>
    <t>AAPL151218C00070000</t>
  </si>
  <si>
    <t>AAPL151218C00075000</t>
  </si>
  <si>
    <t>AAPL151218C00080000</t>
  </si>
  <si>
    <t>AAPL151218C00085000</t>
  </si>
  <si>
    <t>AAPL151218C00090000</t>
  </si>
  <si>
    <t>AAPL151218C00095000</t>
  </si>
  <si>
    <t>AAPL151218C00100000</t>
  </si>
  <si>
    <t>AAPL151218C00105000</t>
  </si>
  <si>
    <t>AAPL151218C00110000</t>
  </si>
  <si>
    <t>AAPL151218C00115000</t>
  </si>
  <si>
    <t>AAPL151218C00120000</t>
  </si>
  <si>
    <t>AAPL151218C00125000</t>
  </si>
  <si>
    <t>AAPL151218C00130000</t>
  </si>
  <si>
    <t>AAPL151218C00135000</t>
  </si>
  <si>
    <t>AAPL151218C00140000</t>
  </si>
  <si>
    <t>AAPL151218C00145000</t>
  </si>
  <si>
    <t>AAPL151218C00150000</t>
  </si>
  <si>
    <t>AAPL151218C00155000</t>
  </si>
  <si>
    <t>AAPL151218C00160000</t>
  </si>
  <si>
    <t>AAPL151218C00165000</t>
  </si>
  <si>
    <t>AAPL151218C00170000</t>
  </si>
  <si>
    <t>AAPL151218C00175000</t>
  </si>
  <si>
    <t>AAPL151218C00180000</t>
  </si>
  <si>
    <t>AAPL151218C00185000</t>
  </si>
  <si>
    <t>AAPL151218C00190000</t>
  </si>
  <si>
    <t>AAPL151218P00055000</t>
  </si>
  <si>
    <t>AAPL151218P00060000</t>
  </si>
  <si>
    <t>AAPL151218P00065000</t>
  </si>
  <si>
    <t>AAPL151218P00070000</t>
  </si>
  <si>
    <t>AAPL151218P00075000</t>
  </si>
  <si>
    <t>AAPL151218P00080000</t>
  </si>
  <si>
    <t>AAPL151218P00085000</t>
  </si>
  <si>
    <t>AAPL151218P00090000</t>
  </si>
  <si>
    <t>AAPL151218P00095000</t>
  </si>
  <si>
    <t>AAPL151218P00100000</t>
  </si>
  <si>
    <t>AAPL151218P00105000</t>
  </si>
  <si>
    <t>AAPL151218P00110000</t>
  </si>
  <si>
    <t>AAPL151218P00115000</t>
  </si>
  <si>
    <t>AAPL151218P00120000</t>
  </si>
  <si>
    <t>AAPL151218P00125000</t>
  </si>
  <si>
    <t>AAPL151218P00130000</t>
  </si>
  <si>
    <t>AAPL151218P00135000</t>
  </si>
  <si>
    <t>AAPL151218P00140000</t>
  </si>
  <si>
    <t>AAPL151218P00145000</t>
  </si>
  <si>
    <t>AAPL151218P00150000</t>
  </si>
  <si>
    <t>AAPL151218P00155000</t>
  </si>
  <si>
    <t>AAPL151218P00160000</t>
  </si>
  <si>
    <t>AAPL151218P00165000</t>
  </si>
  <si>
    <t>AAPL151218P00170000</t>
  </si>
  <si>
    <t>AAPL151218P00175000</t>
  </si>
  <si>
    <t>AAPL151218P00180000</t>
  </si>
  <si>
    <t>AAPL151218P00185000</t>
  </si>
  <si>
    <t>AAPL151218P00190000</t>
  </si>
  <si>
    <t>February 19, 2016</t>
  </si>
  <si>
    <t>AAPL160219C00070000</t>
  </si>
  <si>
    <t>AAPL160219C00075000</t>
  </si>
  <si>
    <t>AAPL160219C00080000</t>
  </si>
  <si>
    <t>AAPL160219C00090000</t>
  </si>
  <si>
    <t>AAPL160219C00095000</t>
  </si>
  <si>
    <t>AAPL160219C00100000</t>
  </si>
  <si>
    <t>AAPL160219C00105000</t>
  </si>
  <si>
    <t>AAPL160219C00110000</t>
  </si>
  <si>
    <t>AAPL160219C00115000</t>
  </si>
  <si>
    <t>AAPL160219C00120000</t>
  </si>
  <si>
    <t>AAPL160219C00125000</t>
  </si>
  <si>
    <t>AAPL160219C00130000</t>
  </si>
  <si>
    <t>AAPL160219C00135000</t>
  </si>
  <si>
    <t>AAPL160219C00140000</t>
  </si>
  <si>
    <t>AAPL160219C00145000</t>
  </si>
  <si>
    <t>AAPL160219C00150000</t>
  </si>
  <si>
    <t>AAPL160219P00060000</t>
  </si>
  <si>
    <t>AAPL160219P00065000</t>
  </si>
  <si>
    <t>AAPL160219P00070000</t>
  </si>
  <si>
    <t>AAPL160219P00075000</t>
  </si>
  <si>
    <t>AAPL160219P00080000</t>
  </si>
  <si>
    <t>AAPL160219P00085000</t>
  </si>
  <si>
    <t>AAPL160219P00090000</t>
  </si>
  <si>
    <t>AAPL160219P00095000</t>
  </si>
  <si>
    <t>AAPL160219P00100000</t>
  </si>
  <si>
    <t>AAPL160219P00105000</t>
  </si>
  <si>
    <t>AAPL160219P00110000</t>
  </si>
  <si>
    <t>AAPL160219P00115000</t>
  </si>
  <si>
    <t>AAPL160219P00120000</t>
  </si>
  <si>
    <t>AAPL160219P00125000</t>
  </si>
  <si>
    <t>AAPL160219P00130000</t>
  </si>
  <si>
    <t>AAPL160219P00135000</t>
  </si>
  <si>
    <t>AAPL160219P00155000</t>
  </si>
  <si>
    <t>AAPL160219P00160000</t>
  </si>
  <si>
    <t>April 15, 2016</t>
  </si>
  <si>
    <t>AAPL160415C00055000</t>
  </si>
  <si>
    <t>AAPL160415C00060000</t>
  </si>
  <si>
    <t>AAPL160415C00065000</t>
  </si>
  <si>
    <t>AAPL160415C00070000</t>
  </si>
  <si>
    <t>AAPL160415C00075000</t>
  </si>
  <si>
    <t>AAPL160415C00080000</t>
  </si>
  <si>
    <t>AAPL160415C00085000</t>
  </si>
  <si>
    <t>AAPL160415C00090000</t>
  </si>
  <si>
    <t>AAPL160415C00095000</t>
  </si>
  <si>
    <t>AAPL160415C00100000</t>
  </si>
  <si>
    <t>AAPL160415C00105000</t>
  </si>
  <si>
    <t>AAPL160415C00110000</t>
  </si>
  <si>
    <t>AAPL160415C00115000</t>
  </si>
  <si>
    <t>AAPL160415C00120000</t>
  </si>
  <si>
    <t>AAPL160415C00125000</t>
  </si>
  <si>
    <t>AAPL160415C00130000</t>
  </si>
  <si>
    <t>AAPL160415C00135000</t>
  </si>
  <si>
    <t>AAPL160415C00140000</t>
  </si>
  <si>
    <t>AAPL160415C00145000</t>
  </si>
  <si>
    <t>AAPL160415C00150000</t>
  </si>
  <si>
    <t>AAPL160415C00155000</t>
  </si>
  <si>
    <t>AAPL160415C00160000</t>
  </si>
  <si>
    <t>AAPL160415C00165000</t>
  </si>
  <si>
    <t>AAPL160415C00170000</t>
  </si>
  <si>
    <t>AAPL160415C00175000</t>
  </si>
  <si>
    <t>AAPL160415C00180000</t>
  </si>
  <si>
    <t>AAPL160415C00185000</t>
  </si>
  <si>
    <t>AAPL160415C00190000</t>
  </si>
  <si>
    <t>AAPL160415C00195000</t>
  </si>
  <si>
    <t>AAPL160415P00055000</t>
  </si>
  <si>
    <t>AAPL160415P00060000</t>
  </si>
  <si>
    <t>AAPL160415P00065000</t>
  </si>
  <si>
    <t>AAPL160415P00070000</t>
  </si>
  <si>
    <t>AAPL160415P00075000</t>
  </si>
  <si>
    <t>AAPL160415P00080000</t>
  </si>
  <si>
    <t>AAPL160415P00085000</t>
  </si>
  <si>
    <t>AAPL160415P00090000</t>
  </si>
  <si>
    <t>AAPL160415P00095000</t>
  </si>
  <si>
    <t>AAPL160415P00100000</t>
  </si>
  <si>
    <t>AAPL160415P00105000</t>
  </si>
  <si>
    <t>AAPL160415P00110000</t>
  </si>
  <si>
    <t>AAPL160415P00115000</t>
  </si>
  <si>
    <t>AAPL160415P00120000</t>
  </si>
  <si>
    <t>AAPL160415P00125000</t>
  </si>
  <si>
    <t>AAPL160415P00130000</t>
  </si>
  <si>
    <t>AAPL160415P00135000</t>
  </si>
  <si>
    <t>AAPL160415P00140000</t>
  </si>
  <si>
    <t>AAPL160415P00145000</t>
  </si>
  <si>
    <t>AAPL160415P00150000</t>
  </si>
  <si>
    <t>AAPL160415P00155000</t>
  </si>
  <si>
    <t>AAPL160415P00160000</t>
  </si>
  <si>
    <t>AAPL160415P00165000</t>
  </si>
  <si>
    <t>AAPL160415P00170000</t>
  </si>
  <si>
    <t>AAPL160415P00175000</t>
  </si>
  <si>
    <t>AAPL160415P00180000</t>
  </si>
  <si>
    <t>AAPL160415P00185000</t>
  </si>
  <si>
    <t>AAPL160415P00190000</t>
  </si>
  <si>
    <t>AAPL160415P00195000</t>
  </si>
  <si>
    <t>June 17, 2016</t>
  </si>
  <si>
    <t>Call Oct 30, 2105 Expiry</t>
  </si>
  <si>
    <t>Call Dec 18, 2015 Expiry</t>
  </si>
  <si>
    <t>Call Feb 19, 2016 Expiry</t>
  </si>
  <si>
    <t>Call April 15, 2016 Expiry</t>
  </si>
  <si>
    <t>Call June 17, 2016</t>
  </si>
  <si>
    <t>Start date</t>
  </si>
  <si>
    <t>Expiration</t>
  </si>
  <si>
    <t>Time in days</t>
  </si>
  <si>
    <t>K</t>
  </si>
  <si>
    <t>T</t>
  </si>
  <si>
    <t>IV</t>
  </si>
  <si>
    <t>BSCImVol(S, K, r, q, T, callmktprice)</t>
  </si>
  <si>
    <t>K^2</t>
  </si>
  <si>
    <t>T^2</t>
  </si>
  <si>
    <t>KT</t>
  </si>
  <si>
    <t>a5</t>
  </si>
  <si>
    <t>a4</t>
  </si>
  <si>
    <t>a3</t>
  </si>
  <si>
    <t>a2</t>
  </si>
  <si>
    <t>a1</t>
  </si>
  <si>
    <t>ao</t>
  </si>
  <si>
    <t>IV Fit</t>
  </si>
  <si>
    <t>k</t>
  </si>
  <si>
    <t>K*T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</si>
</sst>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rgb="FF000000"/>
      <name val="Arial"/>
      <family val="2"/>
    </font>
    <font>
      <sz val="11"/>
      <color rgb="FF454545"/>
      <name val="Helvetica Neue"/>
    </font>
    <font>
      <b/>
      <sz val="15"/>
      <color rgb="FF454545"/>
      <name val="Helvetica Neue"/>
    </font>
    <font>
      <sz val="11"/>
      <color rgb="FF858585"/>
      <name val="Helvetica Neue"/>
    </font>
    <font>
      <b/>
      <sz val="11"/>
      <color rgb="FF454545"/>
      <name val="Helvetica Neue"/>
    </font>
    <font>
      <sz val="15"/>
      <color rgb="FF454545"/>
      <name val="Helvetica Neue"/>
    </font>
    <font>
      <sz val="15"/>
      <color rgb="FF2AC194"/>
      <name val="Helvetica Neue"/>
    </font>
    <font>
      <sz val="15"/>
      <color rgb="FFF90F31"/>
      <name val="Helvetica Neue"/>
    </font>
    <font>
      <sz val="11"/>
      <color rgb="FF66AEB2"/>
      <name val="Calibri"/>
      <family val="2"/>
    </font>
    <font>
      <u/>
      <sz val="12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8">
    <xf numFmtId="0" fontId="0" fillId="0" borderId="0" xfId="0"/>
    <xf numFmtId="0" fontId="4" fillId="0" borderId="0" xfId="0" applyFont="1"/>
    <xf numFmtId="0" fontId="10" fillId="0" borderId="0" xfId="0" applyFont="1"/>
    <xf numFmtId="0" fontId="6" fillId="0" borderId="0" xfId="0" applyFont="1"/>
    <xf numFmtId="0" fontId="11" fillId="0" borderId="0" xfId="1"/>
    <xf numFmtId="0" fontId="7" fillId="0" borderId="0" xfId="0" applyFont="1"/>
    <xf numFmtId="10" fontId="7" fillId="0" borderId="0" xfId="0" applyNumberFormat="1" applyFont="1"/>
    <xf numFmtId="10" fontId="8" fillId="0" borderId="0" xfId="0" applyNumberFormat="1" applyFont="1"/>
    <xf numFmtId="10" fontId="9" fillId="0" borderId="0" xfId="0" applyNumberFormat="1" applyFont="1"/>
    <xf numFmtId="0" fontId="1" fillId="0" borderId="0" xfId="0" applyFont="1"/>
    <xf numFmtId="0" fontId="12" fillId="0" borderId="0" xfId="0" applyFont="1"/>
    <xf numFmtId="14" fontId="0" fillId="0" borderId="0" xfId="0" applyNumberFormat="1"/>
    <xf numFmtId="0" fontId="12" fillId="2" borderId="0" xfId="0" applyFont="1" applyFill="1"/>
    <xf numFmtId="0" fontId="0" fillId="2" borderId="0" xfId="0" applyFill="1"/>
    <xf numFmtId="0" fontId="0" fillId="0" borderId="1" xfId="0" applyBorder="1"/>
    <xf numFmtId="0" fontId="2" fillId="0" borderId="0" xfId="0" applyFont="1"/>
    <xf numFmtId="0" fontId="0" fillId="0" borderId="0" xfId="0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'Refine 4'!$B$2:$B$14</c:f>
              <c:numCache>
                <c:formatCode>General</c:formatCode>
                <c:ptCount val="13"/>
                <c:pt idx="0">
                  <c:v>90</c:v>
                </c:pt>
                <c:pt idx="1">
                  <c:v>95</c:v>
                </c:pt>
                <c:pt idx="2">
                  <c:v>100</c:v>
                </c:pt>
                <c:pt idx="3">
                  <c:v>105</c:v>
                </c:pt>
                <c:pt idx="4">
                  <c:v>110</c:v>
                </c:pt>
                <c:pt idx="5">
                  <c:v>115</c:v>
                </c:pt>
                <c:pt idx="6">
                  <c:v>120</c:v>
                </c:pt>
                <c:pt idx="7">
                  <c:v>125</c:v>
                </c:pt>
                <c:pt idx="8">
                  <c:v>130</c:v>
                </c:pt>
                <c:pt idx="9">
                  <c:v>135</c:v>
                </c:pt>
                <c:pt idx="10">
                  <c:v>140</c:v>
                </c:pt>
                <c:pt idx="11">
                  <c:v>145</c:v>
                </c:pt>
                <c:pt idx="12">
                  <c:v>150</c:v>
                </c:pt>
              </c:numCache>
            </c:numRef>
          </c:xVal>
          <c:yVal>
            <c:numRef>
              <c:f>'Refine 4'!$F$2:$F$14</c:f>
              <c:numCache>
                <c:formatCode>General</c:formatCode>
                <c:ptCount val="13"/>
                <c:pt idx="0">
                  <c:v>0.41511822957545519</c:v>
                </c:pt>
                <c:pt idx="1">
                  <c:v>0.36813717801123857</c:v>
                </c:pt>
                <c:pt idx="2">
                  <c:v>0.33695905935019255</c:v>
                </c:pt>
                <c:pt idx="3">
                  <c:v>0.30529332812875509</c:v>
                </c:pt>
                <c:pt idx="4">
                  <c:v>0.28581649530678988</c:v>
                </c:pt>
                <c:pt idx="5">
                  <c:v>0.27011450845748186</c:v>
                </c:pt>
                <c:pt idx="6">
                  <c:v>0.25523035321384668</c:v>
                </c:pt>
                <c:pt idx="7">
                  <c:v>0.24474289733916521</c:v>
                </c:pt>
                <c:pt idx="8">
                  <c:v>0.24170820135623217</c:v>
                </c:pt>
                <c:pt idx="9">
                  <c:v>0.24195429403334856</c:v>
                </c:pt>
                <c:pt idx="10">
                  <c:v>0.24831830058246851</c:v>
                </c:pt>
                <c:pt idx="11">
                  <c:v>0.25944441091269255</c:v>
                </c:pt>
                <c:pt idx="12">
                  <c:v>0.27637777384370565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56-46E7-A877-31D3804E4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548672"/>
        <c:axId val="690549248"/>
      </c:scatterChart>
      <c:valAx>
        <c:axId val="690548672"/>
        <c:scaling>
          <c:orientation val="minMax"/>
          <c:min val="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49248"/>
        <c:crosses val="autoZero"/>
        <c:crossBetween val="midCat"/>
      </c:valAx>
      <c:valAx>
        <c:axId val="69054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4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IV 56 Days </c:v>
          </c:tx>
          <c:marker>
            <c:symbol val="none"/>
          </c:marker>
          <c:xVal>
            <c:numRef>
              <c:f>'Estimating Dumas Fleming Whaley'!$B$5:$B$17</c:f>
              <c:numCache>
                <c:formatCode>General</c:formatCode>
                <c:ptCount val="13"/>
                <c:pt idx="0">
                  <c:v>90</c:v>
                </c:pt>
                <c:pt idx="1">
                  <c:v>95</c:v>
                </c:pt>
                <c:pt idx="2">
                  <c:v>100</c:v>
                </c:pt>
                <c:pt idx="3">
                  <c:v>105</c:v>
                </c:pt>
                <c:pt idx="4">
                  <c:v>110</c:v>
                </c:pt>
                <c:pt idx="5">
                  <c:v>115</c:v>
                </c:pt>
                <c:pt idx="6">
                  <c:v>120</c:v>
                </c:pt>
                <c:pt idx="7">
                  <c:v>125</c:v>
                </c:pt>
                <c:pt idx="8">
                  <c:v>130</c:v>
                </c:pt>
                <c:pt idx="9">
                  <c:v>135</c:v>
                </c:pt>
                <c:pt idx="10">
                  <c:v>140</c:v>
                </c:pt>
                <c:pt idx="11">
                  <c:v>145</c:v>
                </c:pt>
                <c:pt idx="12">
                  <c:v>150</c:v>
                </c:pt>
              </c:numCache>
            </c:numRef>
          </c:xVal>
          <c:yVal>
            <c:numRef>
              <c:f>'Estimating Dumas Fleming Whaley'!$F$5:$F$17</c:f>
              <c:numCache>
                <c:formatCode>General</c:formatCode>
                <c:ptCount val="13"/>
                <c:pt idx="0">
                  <c:v>0.41511822957545519</c:v>
                </c:pt>
                <c:pt idx="1">
                  <c:v>0.36813717801123857</c:v>
                </c:pt>
                <c:pt idx="2">
                  <c:v>0.33695905935019255</c:v>
                </c:pt>
                <c:pt idx="3">
                  <c:v>0.30529332812875509</c:v>
                </c:pt>
                <c:pt idx="4">
                  <c:v>0.28581649530678988</c:v>
                </c:pt>
                <c:pt idx="5">
                  <c:v>0.27011450845748186</c:v>
                </c:pt>
                <c:pt idx="6">
                  <c:v>0.25523035321384668</c:v>
                </c:pt>
                <c:pt idx="7">
                  <c:v>0.24474289733916521</c:v>
                </c:pt>
                <c:pt idx="8">
                  <c:v>0.24170820135623217</c:v>
                </c:pt>
                <c:pt idx="9">
                  <c:v>0.24195429403334856</c:v>
                </c:pt>
                <c:pt idx="10">
                  <c:v>0.24831830058246851</c:v>
                </c:pt>
                <c:pt idx="11">
                  <c:v>0.25944441091269255</c:v>
                </c:pt>
                <c:pt idx="12">
                  <c:v>0.27637777384370565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8F4-A6A3-E678DC314A9A}"/>
            </c:ext>
          </c:extLst>
        </c:ser>
        <c:ser>
          <c:idx val="1"/>
          <c:order val="1"/>
          <c:tx>
            <c:v>IV Fit</c:v>
          </c:tx>
          <c:marker>
            <c:symbol val="none"/>
          </c:marker>
          <c:xVal>
            <c:numRef>
              <c:f>'Estimating Dumas Fleming Whaley'!$B$5:$B$17</c:f>
              <c:numCache>
                <c:formatCode>General</c:formatCode>
                <c:ptCount val="13"/>
                <c:pt idx="0">
                  <c:v>90</c:v>
                </c:pt>
                <c:pt idx="1">
                  <c:v>95</c:v>
                </c:pt>
                <c:pt idx="2">
                  <c:v>100</c:v>
                </c:pt>
                <c:pt idx="3">
                  <c:v>105</c:v>
                </c:pt>
                <c:pt idx="4">
                  <c:v>110</c:v>
                </c:pt>
                <c:pt idx="5">
                  <c:v>115</c:v>
                </c:pt>
                <c:pt idx="6">
                  <c:v>120</c:v>
                </c:pt>
                <c:pt idx="7">
                  <c:v>125</c:v>
                </c:pt>
                <c:pt idx="8">
                  <c:v>130</c:v>
                </c:pt>
                <c:pt idx="9">
                  <c:v>135</c:v>
                </c:pt>
                <c:pt idx="10">
                  <c:v>140</c:v>
                </c:pt>
                <c:pt idx="11">
                  <c:v>145</c:v>
                </c:pt>
                <c:pt idx="12">
                  <c:v>150</c:v>
                </c:pt>
              </c:numCache>
            </c:numRef>
          </c:xVal>
          <c:yVal>
            <c:numRef>
              <c:f>'Estimating Dumas Fleming Whaley'!$U$5:$U$17</c:f>
              <c:numCache>
                <c:formatCode>General</c:formatCode>
                <c:ptCount val="13"/>
                <c:pt idx="0">
                  <c:v>0.38480371904078514</c:v>
                </c:pt>
                <c:pt idx="1">
                  <c:v>0.35930845523192317</c:v>
                </c:pt>
                <c:pt idx="2">
                  <c:v>0.33641778721513438</c:v>
                </c:pt>
                <c:pt idx="3">
                  <c:v>0.31613171499041887</c:v>
                </c:pt>
                <c:pt idx="4">
                  <c:v>0.29845023855777664</c:v>
                </c:pt>
                <c:pt idx="5">
                  <c:v>0.28337335791720758</c:v>
                </c:pt>
                <c:pt idx="6">
                  <c:v>0.2709010730687117</c:v>
                </c:pt>
                <c:pt idx="7">
                  <c:v>0.26103338401228932</c:v>
                </c:pt>
                <c:pt idx="8">
                  <c:v>0.25377029074794</c:v>
                </c:pt>
                <c:pt idx="9">
                  <c:v>0.24911179327566366</c:v>
                </c:pt>
                <c:pt idx="10">
                  <c:v>0.24705789159546102</c:v>
                </c:pt>
                <c:pt idx="11">
                  <c:v>0.24760858570733166</c:v>
                </c:pt>
                <c:pt idx="12">
                  <c:v>0.25076387561127489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8F4-A6A3-E678DC31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552128"/>
        <c:axId val="703758336"/>
      </c:scatterChart>
      <c:valAx>
        <c:axId val="690552128"/>
        <c:scaling>
          <c:orientation val="minMax"/>
          <c:max val="160"/>
          <c:min val="80"/>
        </c:scaling>
        <c:delete val="0"/>
        <c:axPos val="b"/>
        <c:numFmt formatCode="General" sourceLinked="1"/>
        <c:majorTickMark val="out"/>
        <c:minorTickMark val="none"/>
        <c:tickLblPos val="nextTo"/>
        <c:crossAx val="703758336"/>
        <c:crosses val="autoZero"/>
        <c:crossBetween val="midCat"/>
      </c:valAx>
      <c:valAx>
        <c:axId val="70375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05521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view3D>
      <c:rotX val="20"/>
      <c:rotY val="15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8882073727683872E-2"/>
          <c:y val="4.2071782710032556E-2"/>
          <c:w val="0.86899408502480202"/>
          <c:h val="0.91427881201072703"/>
        </c:manualLayout>
      </c:layout>
      <c:surface3DChart>
        <c:wireframe val="0"/>
        <c:ser>
          <c:idx val="0"/>
          <c:order val="0"/>
          <c:tx>
            <c:strRef>
              <c:f>Surface!$Y$20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Surface!$X$21:$X$30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Surface!$Y$21:$Y$30</c:f>
              <c:numCache>
                <c:formatCode>General</c:formatCode>
                <c:ptCount val="10"/>
                <c:pt idx="0">
                  <c:v>0.38816093069376589</c:v>
                </c:pt>
                <c:pt idx="1">
                  <c:v>0.38203886171977441</c:v>
                </c:pt>
                <c:pt idx="2">
                  <c:v>0.37661219324318945</c:v>
                </c:pt>
                <c:pt idx="3">
                  <c:v>0.37188092526401112</c:v>
                </c:pt>
                <c:pt idx="4">
                  <c:v>0.36784505778223925</c:v>
                </c:pt>
                <c:pt idx="5">
                  <c:v>0.36450459079787401</c:v>
                </c:pt>
                <c:pt idx="6">
                  <c:v>0.36185952431091528</c:v>
                </c:pt>
                <c:pt idx="7">
                  <c:v>0.35990985832136313</c:v>
                </c:pt>
                <c:pt idx="8">
                  <c:v>0.35865559282921761</c:v>
                </c:pt>
                <c:pt idx="9">
                  <c:v>0.35809672783447855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7-4C45-81F9-4FAA6E6E340A}"/>
            </c:ext>
          </c:extLst>
        </c:ser>
        <c:ser>
          <c:idx val="1"/>
          <c:order val="1"/>
          <c:tx>
            <c:strRef>
              <c:f>Surface!$Z$20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Surface!$X$21:$X$30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Surface!$Z$21:$Z$30</c:f>
              <c:numCache>
                <c:formatCode>General</c:formatCode>
                <c:ptCount val="10"/>
                <c:pt idx="0">
                  <c:v>0.33929355636601277</c:v>
                </c:pt>
                <c:pt idx="1">
                  <c:v>0.33407264899852057</c:v>
                </c:pt>
                <c:pt idx="2">
                  <c:v>0.32954714212843494</c:v>
                </c:pt>
                <c:pt idx="3">
                  <c:v>0.32571703575575595</c:v>
                </c:pt>
                <c:pt idx="4">
                  <c:v>0.32258232988048341</c:v>
                </c:pt>
                <c:pt idx="5">
                  <c:v>0.32014302450261745</c:v>
                </c:pt>
                <c:pt idx="6">
                  <c:v>0.31839911962215806</c:v>
                </c:pt>
                <c:pt idx="7">
                  <c:v>0.31735061523910524</c:v>
                </c:pt>
                <c:pt idx="8">
                  <c:v>0.31699751135345899</c:v>
                </c:pt>
                <c:pt idx="9">
                  <c:v>0.31733980796521927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97-4C45-81F9-4FAA6E6E340A}"/>
            </c:ext>
          </c:extLst>
        </c:ser>
        <c:ser>
          <c:idx val="2"/>
          <c:order val="2"/>
          <c:tx>
            <c:strRef>
              <c:f>Surface!$AA$20</c:f>
              <c:strCache>
                <c:ptCount val="1"/>
                <c:pt idx="0">
                  <c:v>110</c:v>
                </c:pt>
              </c:strCache>
            </c:strRef>
          </c:tx>
          <c:cat>
            <c:numRef>
              <c:f>Surface!$X$21:$X$30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Surface!$AA$21:$AA$30</c:f>
              <c:numCache>
                <c:formatCode>General</c:formatCode>
                <c:ptCount val="10"/>
                <c:pt idx="0">
                  <c:v>0.30084456520655267</c:v>
                </c:pt>
                <c:pt idx="1">
                  <c:v>0.29652481944555981</c:v>
                </c:pt>
                <c:pt idx="2">
                  <c:v>0.29290047418197351</c:v>
                </c:pt>
                <c:pt idx="3">
                  <c:v>0.28997152941579374</c:v>
                </c:pt>
                <c:pt idx="4">
                  <c:v>0.28773798514702059</c:v>
                </c:pt>
                <c:pt idx="5">
                  <c:v>0.28619984137565396</c:v>
                </c:pt>
                <c:pt idx="6">
                  <c:v>0.28535709810169385</c:v>
                </c:pt>
                <c:pt idx="7">
                  <c:v>0.28520975532514037</c:v>
                </c:pt>
                <c:pt idx="8">
                  <c:v>0.2857578130459934</c:v>
                </c:pt>
                <c:pt idx="9">
                  <c:v>0.28700127126425301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97-4C45-81F9-4FAA6E6E340A}"/>
            </c:ext>
          </c:extLst>
        </c:ser>
        <c:ser>
          <c:idx val="3"/>
          <c:order val="3"/>
          <c:tx>
            <c:strRef>
              <c:f>Surface!$AB$20</c:f>
              <c:strCache>
                <c:ptCount val="1"/>
                <c:pt idx="0">
                  <c:v>120</c:v>
                </c:pt>
              </c:strCache>
            </c:strRef>
          </c:tx>
          <c:cat>
            <c:numRef>
              <c:f>Surface!$X$21:$X$30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Surface!$AB$21:$AB$30</c:f>
              <c:numCache>
                <c:formatCode>General</c:formatCode>
                <c:ptCount val="10"/>
                <c:pt idx="0">
                  <c:v>0.27281395721538537</c:v>
                </c:pt>
                <c:pt idx="1">
                  <c:v>0.26939537306089179</c:v>
                </c:pt>
                <c:pt idx="2">
                  <c:v>0.26667218940380477</c:v>
                </c:pt>
                <c:pt idx="3">
                  <c:v>0.26464440624412439</c:v>
                </c:pt>
                <c:pt idx="4">
                  <c:v>0.26331202358185057</c:v>
                </c:pt>
                <c:pt idx="5">
                  <c:v>0.26267504141698322</c:v>
                </c:pt>
                <c:pt idx="6">
                  <c:v>0.26273345974952245</c:v>
                </c:pt>
                <c:pt idx="7">
                  <c:v>0.2634872785794683</c:v>
                </c:pt>
                <c:pt idx="8">
                  <c:v>0.26493649790682061</c:v>
                </c:pt>
                <c:pt idx="9">
                  <c:v>0.26708111773157961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97-4C45-81F9-4FAA6E6E340A}"/>
            </c:ext>
          </c:extLst>
        </c:ser>
        <c:ser>
          <c:idx val="4"/>
          <c:order val="4"/>
          <c:tx>
            <c:strRef>
              <c:f>Surface!$AC$20</c:f>
              <c:strCache>
                <c:ptCount val="1"/>
                <c:pt idx="0">
                  <c:v>130</c:v>
                </c:pt>
              </c:strCache>
            </c:strRef>
          </c:tx>
          <c:cat>
            <c:numRef>
              <c:f>Surface!$X$21:$X$30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Surface!$AC$21:$AC$30</c:f>
              <c:numCache>
                <c:formatCode>General</c:formatCode>
                <c:ptCount val="10"/>
                <c:pt idx="0">
                  <c:v>0.25520173239251126</c:v>
                </c:pt>
                <c:pt idx="1">
                  <c:v>0.25268430984451706</c:v>
                </c:pt>
                <c:pt idx="2">
                  <c:v>0.25086228779392938</c:v>
                </c:pt>
                <c:pt idx="3">
                  <c:v>0.24973566624074828</c:v>
                </c:pt>
                <c:pt idx="4">
                  <c:v>0.24930444518497374</c:v>
                </c:pt>
                <c:pt idx="5">
                  <c:v>0.24956862462660576</c:v>
                </c:pt>
                <c:pt idx="6">
                  <c:v>0.25052820456564429</c:v>
                </c:pt>
                <c:pt idx="7">
                  <c:v>0.25218318500208947</c:v>
                </c:pt>
                <c:pt idx="8">
                  <c:v>0.25453356593594112</c:v>
                </c:pt>
                <c:pt idx="9">
                  <c:v>0.2575793473671994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97-4C45-81F9-4FAA6E6E340A}"/>
            </c:ext>
          </c:extLst>
        </c:ser>
        <c:ser>
          <c:idx val="5"/>
          <c:order val="5"/>
          <c:tx>
            <c:strRef>
              <c:f>Surface!$AD$20</c:f>
              <c:strCache>
                <c:ptCount val="1"/>
                <c:pt idx="0">
                  <c:v>140</c:v>
                </c:pt>
              </c:strCache>
            </c:strRef>
          </c:tx>
          <c:cat>
            <c:numRef>
              <c:f>Surface!$X$21:$X$30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Surface!$AD$21:$AD$30</c:f>
              <c:numCache>
                <c:formatCode>General</c:formatCode>
                <c:ptCount val="10"/>
                <c:pt idx="0">
                  <c:v>0.24800789073792989</c:v>
                </c:pt>
                <c:pt idx="1">
                  <c:v>0.24639162979643497</c:v>
                </c:pt>
                <c:pt idx="2">
                  <c:v>0.2454707693523466</c:v>
                </c:pt>
                <c:pt idx="3">
                  <c:v>0.24524530940566486</c:v>
                </c:pt>
                <c:pt idx="4">
                  <c:v>0.24571524995638966</c:v>
                </c:pt>
                <c:pt idx="5">
                  <c:v>0.24688059100452098</c:v>
                </c:pt>
                <c:pt idx="6">
                  <c:v>0.24874133255005881</c:v>
                </c:pt>
                <c:pt idx="7">
                  <c:v>0.25129747459300328</c:v>
                </c:pt>
                <c:pt idx="8">
                  <c:v>0.25454901713335426</c:v>
                </c:pt>
                <c:pt idx="9">
                  <c:v>0.25849596017111187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97-4C45-81F9-4FAA6E6E340A}"/>
            </c:ext>
          </c:extLst>
        </c:ser>
        <c:ser>
          <c:idx val="6"/>
          <c:order val="6"/>
          <c:tx>
            <c:strRef>
              <c:f>Surface!$AE$20</c:f>
              <c:strCache>
                <c:ptCount val="1"/>
                <c:pt idx="0">
                  <c:v>150</c:v>
                </c:pt>
              </c:strCache>
            </c:strRef>
          </c:tx>
          <c:cat>
            <c:numRef>
              <c:f>Surface!$X$21:$X$30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Surface!$AE$21:$AE$30</c:f>
              <c:numCache>
                <c:formatCode>General</c:formatCode>
                <c:ptCount val="10"/>
                <c:pt idx="0">
                  <c:v>0.25123243225164144</c:v>
                </c:pt>
                <c:pt idx="1">
                  <c:v>0.2505173329166458</c:v>
                </c:pt>
                <c:pt idx="2">
                  <c:v>0.25049763407905679</c:v>
                </c:pt>
                <c:pt idx="3">
                  <c:v>0.25117333573887435</c:v>
                </c:pt>
                <c:pt idx="4">
                  <c:v>0.25254443789609843</c:v>
                </c:pt>
                <c:pt idx="5">
                  <c:v>0.25461094055072908</c:v>
                </c:pt>
                <c:pt idx="6">
                  <c:v>0.25737284370276625</c:v>
                </c:pt>
                <c:pt idx="7">
                  <c:v>0.26083014735221005</c:v>
                </c:pt>
                <c:pt idx="8">
                  <c:v>0.26498285149906037</c:v>
                </c:pt>
                <c:pt idx="9">
                  <c:v>0.26983095614331726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97-4C45-81F9-4FAA6E6E340A}"/>
            </c:ext>
          </c:extLst>
        </c:ser>
        <c:bandFmts/>
        <c:axId val="703719424"/>
        <c:axId val="703760640"/>
        <c:axId val="691684608"/>
      </c:surface3DChart>
      <c:catAx>
        <c:axId val="70371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3760640"/>
        <c:crosses val="autoZero"/>
        <c:auto val="1"/>
        <c:lblAlgn val="ctr"/>
        <c:lblOffset val="100"/>
        <c:noMultiLvlLbl val="0"/>
      </c:catAx>
      <c:valAx>
        <c:axId val="703760640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703719424"/>
        <c:crosses val="autoZero"/>
        <c:crossBetween val="midCat"/>
      </c:valAx>
      <c:serAx>
        <c:axId val="691684608"/>
        <c:scaling>
          <c:orientation val="minMax"/>
        </c:scaling>
        <c:delete val="0"/>
        <c:axPos val="b"/>
        <c:majorTickMark val="out"/>
        <c:minorTickMark val="none"/>
        <c:tickLblPos val="nextTo"/>
        <c:crossAx val="703760640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647700</xdr:colOff>
      <xdr:row>2</xdr:row>
      <xdr:rowOff>180975</xdr:rowOff>
    </xdr:from>
    <xdr:to>
      <xdr:col>14</xdr:col>
      <xdr:colOff>393700</xdr:colOff>
      <xdr:row>5</xdr:row>
      <xdr:rowOff>3175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9275" y="581025"/>
          <a:ext cx="4479925" cy="412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666436</xdr:colOff>
      <xdr:row>5</xdr:row>
      <xdr:rowOff>25148</xdr:rowOff>
    </xdr:from>
    <xdr:to>
      <xdr:col>17</xdr:col>
      <xdr:colOff>75446</xdr:colOff>
      <xdr:row>30</xdr:row>
      <xdr:rowOff>50297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0</xdr:row>
      <xdr:rowOff>95250</xdr:rowOff>
    </xdr:from>
    <xdr:to>
      <xdr:col>10</xdr:col>
      <xdr:colOff>352425</xdr:colOff>
      <xdr:row>2</xdr:row>
      <xdr:rowOff>39207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6625" y="95250"/>
          <a:ext cx="3733800" cy="3440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180975</xdr:rowOff>
    </xdr:from>
    <xdr:to>
      <xdr:col>4</xdr:col>
      <xdr:colOff>514350</xdr:colOff>
      <xdr:row>2</xdr:row>
      <xdr:rowOff>75788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80975"/>
          <a:ext cx="3200400" cy="2948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547687</xdr:colOff>
      <xdr:row>13</xdr:row>
      <xdr:rowOff>188119</xdr:rowOff>
    </xdr:from>
    <xdr:to>
      <xdr:col>19</xdr:col>
      <xdr:colOff>71437</xdr:colOff>
      <xdr:row>27</xdr:row>
      <xdr:rowOff>97631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569118</xdr:colOff>
      <xdr:row>0</xdr:row>
      <xdr:rowOff>121444</xdr:rowOff>
    </xdr:from>
    <xdr:to>
      <xdr:col>19</xdr:col>
      <xdr:colOff>228744</xdr:colOff>
      <xdr:row>2</xdr:row>
      <xdr:rowOff>154781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1056" y="121444"/>
          <a:ext cx="4707876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535641</xdr:colOff>
      <xdr:row>35</xdr:row>
      <xdr:rowOff>174813</xdr:rowOff>
    </xdr:from>
    <xdr:to>
      <xdr:col>27</xdr:col>
      <xdr:colOff>605117</xdr:colOff>
      <xdr:row>65</xdr:row>
      <xdr:rowOff>11207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AAPL160617C00115000" TargetMode="External"/><Relationship Id="rId21" Type="http://schemas.openxmlformats.org/officeDocument/2006/relationships/hyperlink" Target="http://finance.yahoo.com/q/op?s=AAPL&amp;strike=105.00" TargetMode="External"/><Relationship Id="rId42" Type="http://schemas.openxmlformats.org/officeDocument/2006/relationships/hyperlink" Target="http://finance.yahoo.com/q?s=AAPL160617C00155000" TargetMode="External"/><Relationship Id="rId47" Type="http://schemas.openxmlformats.org/officeDocument/2006/relationships/hyperlink" Target="http://finance.yahoo.com/q/op?s=AAPL&amp;strike=170.00" TargetMode="External"/><Relationship Id="rId63" Type="http://schemas.openxmlformats.org/officeDocument/2006/relationships/hyperlink" Target="http://finance.yahoo.com/q/op?s=AAPL&amp;strike=65.00" TargetMode="External"/><Relationship Id="rId68" Type="http://schemas.openxmlformats.org/officeDocument/2006/relationships/hyperlink" Target="http://finance.yahoo.com/q?s=AAPL160617P00075000" TargetMode="External"/><Relationship Id="rId84" Type="http://schemas.openxmlformats.org/officeDocument/2006/relationships/hyperlink" Target="http://finance.yahoo.com/q?s=AAPL160617P00115000" TargetMode="External"/><Relationship Id="rId89" Type="http://schemas.openxmlformats.org/officeDocument/2006/relationships/hyperlink" Target="http://finance.yahoo.com/q/op?s=AAPL&amp;strike=130.00" TargetMode="External"/><Relationship Id="rId112" Type="http://schemas.openxmlformats.org/officeDocument/2006/relationships/hyperlink" Target="http://finance.yahoo.com/q?s=AAPL160617P00185000" TargetMode="External"/><Relationship Id="rId16" Type="http://schemas.openxmlformats.org/officeDocument/2006/relationships/hyperlink" Target="http://finance.yahoo.com/q?s=AAPL160617C00090000" TargetMode="External"/><Relationship Id="rId107" Type="http://schemas.openxmlformats.org/officeDocument/2006/relationships/hyperlink" Target="http://finance.yahoo.com/q/op?s=AAPL&amp;strike=175.00" TargetMode="External"/><Relationship Id="rId11" Type="http://schemas.openxmlformats.org/officeDocument/2006/relationships/hyperlink" Target="http://finance.yahoo.com/q/op?s=AAPL&amp;strike=80.00" TargetMode="External"/><Relationship Id="rId32" Type="http://schemas.openxmlformats.org/officeDocument/2006/relationships/hyperlink" Target="http://finance.yahoo.com/q?s=AAPL160617C00130000" TargetMode="External"/><Relationship Id="rId37" Type="http://schemas.openxmlformats.org/officeDocument/2006/relationships/hyperlink" Target="http://finance.yahoo.com/q/op?s=AAPL&amp;strike=145.00" TargetMode="External"/><Relationship Id="rId53" Type="http://schemas.openxmlformats.org/officeDocument/2006/relationships/hyperlink" Target="http://finance.yahoo.com/q/op?s=AAPL&amp;strike=185.00" TargetMode="External"/><Relationship Id="rId58" Type="http://schemas.openxmlformats.org/officeDocument/2006/relationships/hyperlink" Target="http://finance.yahoo.com/q?s=AAPL160617C00195000" TargetMode="External"/><Relationship Id="rId74" Type="http://schemas.openxmlformats.org/officeDocument/2006/relationships/hyperlink" Target="http://finance.yahoo.com/q?s=AAPL160617P00090000" TargetMode="External"/><Relationship Id="rId79" Type="http://schemas.openxmlformats.org/officeDocument/2006/relationships/hyperlink" Target="http://finance.yahoo.com/q/op?s=AAPL&amp;strike=105.00" TargetMode="External"/><Relationship Id="rId102" Type="http://schemas.openxmlformats.org/officeDocument/2006/relationships/hyperlink" Target="http://finance.yahoo.com/q?s=AAPL160617P00160000" TargetMode="External"/><Relationship Id="rId5" Type="http://schemas.openxmlformats.org/officeDocument/2006/relationships/hyperlink" Target="http://finance.yahoo.com/q/op?s=AAPL&amp;strike=65.00" TargetMode="External"/><Relationship Id="rId90" Type="http://schemas.openxmlformats.org/officeDocument/2006/relationships/hyperlink" Target="http://finance.yahoo.com/q?s=AAPL160617P00130000" TargetMode="External"/><Relationship Id="rId95" Type="http://schemas.openxmlformats.org/officeDocument/2006/relationships/hyperlink" Target="http://finance.yahoo.com/q/op?s=AAPL&amp;strike=145.00" TargetMode="External"/><Relationship Id="rId22" Type="http://schemas.openxmlformats.org/officeDocument/2006/relationships/hyperlink" Target="http://finance.yahoo.com/q?s=AAPL160617C00105000" TargetMode="External"/><Relationship Id="rId27" Type="http://schemas.openxmlformats.org/officeDocument/2006/relationships/hyperlink" Target="http://finance.yahoo.com/q/op?s=AAPL&amp;strike=120.00" TargetMode="External"/><Relationship Id="rId43" Type="http://schemas.openxmlformats.org/officeDocument/2006/relationships/hyperlink" Target="http://finance.yahoo.com/q/op?s=AAPL&amp;strike=160.00" TargetMode="External"/><Relationship Id="rId48" Type="http://schemas.openxmlformats.org/officeDocument/2006/relationships/hyperlink" Target="http://finance.yahoo.com/q?s=AAPL160617C00170000" TargetMode="External"/><Relationship Id="rId64" Type="http://schemas.openxmlformats.org/officeDocument/2006/relationships/hyperlink" Target="http://finance.yahoo.com/q?s=AAPL160617P00065000" TargetMode="External"/><Relationship Id="rId69" Type="http://schemas.openxmlformats.org/officeDocument/2006/relationships/hyperlink" Target="http://finance.yahoo.com/q/op?s=AAPL&amp;strike=80.00" TargetMode="External"/><Relationship Id="rId113" Type="http://schemas.openxmlformats.org/officeDocument/2006/relationships/hyperlink" Target="http://finance.yahoo.com/q/op?s=AAPL&amp;strike=195.00" TargetMode="External"/><Relationship Id="rId80" Type="http://schemas.openxmlformats.org/officeDocument/2006/relationships/hyperlink" Target="http://finance.yahoo.com/q?s=AAPL160617P00105000" TargetMode="External"/><Relationship Id="rId85" Type="http://schemas.openxmlformats.org/officeDocument/2006/relationships/hyperlink" Target="http://finance.yahoo.com/q/op?s=AAPL&amp;strike=120.00" TargetMode="External"/><Relationship Id="rId12" Type="http://schemas.openxmlformats.org/officeDocument/2006/relationships/hyperlink" Target="http://finance.yahoo.com/q?s=AAPL160617C00080000" TargetMode="External"/><Relationship Id="rId17" Type="http://schemas.openxmlformats.org/officeDocument/2006/relationships/hyperlink" Target="http://finance.yahoo.com/q/op?s=AAPL&amp;strike=95.00" TargetMode="External"/><Relationship Id="rId33" Type="http://schemas.openxmlformats.org/officeDocument/2006/relationships/hyperlink" Target="http://finance.yahoo.com/q/op?s=AAPL&amp;strike=135.00" TargetMode="External"/><Relationship Id="rId38" Type="http://schemas.openxmlformats.org/officeDocument/2006/relationships/hyperlink" Target="http://finance.yahoo.com/q?s=AAPL160617C00145000" TargetMode="External"/><Relationship Id="rId59" Type="http://schemas.openxmlformats.org/officeDocument/2006/relationships/hyperlink" Target="http://finance.yahoo.com/q/op?s=AAPL&amp;strike=55.00" TargetMode="External"/><Relationship Id="rId103" Type="http://schemas.openxmlformats.org/officeDocument/2006/relationships/hyperlink" Target="http://finance.yahoo.com/q/op?s=AAPL&amp;strike=165.00" TargetMode="External"/><Relationship Id="rId108" Type="http://schemas.openxmlformats.org/officeDocument/2006/relationships/hyperlink" Target="http://finance.yahoo.com/q?s=AAPL160617P00175000" TargetMode="External"/><Relationship Id="rId54" Type="http://schemas.openxmlformats.org/officeDocument/2006/relationships/hyperlink" Target="http://finance.yahoo.com/q?s=AAPL160617C00185000" TargetMode="External"/><Relationship Id="rId70" Type="http://schemas.openxmlformats.org/officeDocument/2006/relationships/hyperlink" Target="http://finance.yahoo.com/q?s=AAPL160617P00080000" TargetMode="External"/><Relationship Id="rId75" Type="http://schemas.openxmlformats.org/officeDocument/2006/relationships/hyperlink" Target="http://finance.yahoo.com/q/op?s=AAPL&amp;strike=95.00" TargetMode="External"/><Relationship Id="rId91" Type="http://schemas.openxmlformats.org/officeDocument/2006/relationships/hyperlink" Target="http://finance.yahoo.com/q/op?s=AAPL&amp;strike=135.00" TargetMode="External"/><Relationship Id="rId96" Type="http://schemas.openxmlformats.org/officeDocument/2006/relationships/hyperlink" Target="http://finance.yahoo.com/q?s=AAPL160617P00145000" TargetMode="External"/><Relationship Id="rId1" Type="http://schemas.openxmlformats.org/officeDocument/2006/relationships/hyperlink" Target="http://finance.yahoo.com/q/op?s=AAPL&amp;strike=55.00" TargetMode="External"/><Relationship Id="rId6" Type="http://schemas.openxmlformats.org/officeDocument/2006/relationships/hyperlink" Target="http://finance.yahoo.com/q?s=AAPL160617C00065000" TargetMode="External"/><Relationship Id="rId15" Type="http://schemas.openxmlformats.org/officeDocument/2006/relationships/hyperlink" Target="http://finance.yahoo.com/q/op?s=AAPL&amp;strike=90.00" TargetMode="External"/><Relationship Id="rId23" Type="http://schemas.openxmlformats.org/officeDocument/2006/relationships/hyperlink" Target="http://finance.yahoo.com/q/op?s=AAPL&amp;strike=110.00" TargetMode="External"/><Relationship Id="rId28" Type="http://schemas.openxmlformats.org/officeDocument/2006/relationships/hyperlink" Target="http://finance.yahoo.com/q?s=AAPL160617C00120000" TargetMode="External"/><Relationship Id="rId36" Type="http://schemas.openxmlformats.org/officeDocument/2006/relationships/hyperlink" Target="http://finance.yahoo.com/q?s=AAPL160617C00140000" TargetMode="External"/><Relationship Id="rId49" Type="http://schemas.openxmlformats.org/officeDocument/2006/relationships/hyperlink" Target="http://finance.yahoo.com/q/op?s=AAPL&amp;strike=175.00" TargetMode="External"/><Relationship Id="rId57" Type="http://schemas.openxmlformats.org/officeDocument/2006/relationships/hyperlink" Target="http://finance.yahoo.com/q/op?s=AAPL&amp;strike=195.00" TargetMode="External"/><Relationship Id="rId106" Type="http://schemas.openxmlformats.org/officeDocument/2006/relationships/hyperlink" Target="http://finance.yahoo.com/q?s=AAPL160617P00170000" TargetMode="External"/><Relationship Id="rId114" Type="http://schemas.openxmlformats.org/officeDocument/2006/relationships/hyperlink" Target="http://finance.yahoo.com/q?s=AAPL160617P00195000" TargetMode="External"/><Relationship Id="rId10" Type="http://schemas.openxmlformats.org/officeDocument/2006/relationships/hyperlink" Target="http://finance.yahoo.com/q?s=AAPL160617C00075000" TargetMode="External"/><Relationship Id="rId31" Type="http://schemas.openxmlformats.org/officeDocument/2006/relationships/hyperlink" Target="http://finance.yahoo.com/q/op?s=AAPL&amp;strike=130.00" TargetMode="External"/><Relationship Id="rId44" Type="http://schemas.openxmlformats.org/officeDocument/2006/relationships/hyperlink" Target="http://finance.yahoo.com/q?s=AAPL160617C00160000" TargetMode="External"/><Relationship Id="rId52" Type="http://schemas.openxmlformats.org/officeDocument/2006/relationships/hyperlink" Target="http://finance.yahoo.com/q?s=AAPL160617C00180000" TargetMode="External"/><Relationship Id="rId60" Type="http://schemas.openxmlformats.org/officeDocument/2006/relationships/hyperlink" Target="http://finance.yahoo.com/q?s=AAPL160617P00055000" TargetMode="External"/><Relationship Id="rId65" Type="http://schemas.openxmlformats.org/officeDocument/2006/relationships/hyperlink" Target="http://finance.yahoo.com/q/op?s=AAPL&amp;strike=70.00" TargetMode="External"/><Relationship Id="rId73" Type="http://schemas.openxmlformats.org/officeDocument/2006/relationships/hyperlink" Target="http://finance.yahoo.com/q/op?s=AAPL&amp;strike=90.00" TargetMode="External"/><Relationship Id="rId78" Type="http://schemas.openxmlformats.org/officeDocument/2006/relationships/hyperlink" Target="http://finance.yahoo.com/q?s=AAPL160617P00100000" TargetMode="External"/><Relationship Id="rId81" Type="http://schemas.openxmlformats.org/officeDocument/2006/relationships/hyperlink" Target="http://finance.yahoo.com/q/op?s=AAPL&amp;strike=110.00" TargetMode="External"/><Relationship Id="rId86" Type="http://schemas.openxmlformats.org/officeDocument/2006/relationships/hyperlink" Target="http://finance.yahoo.com/q?s=AAPL160617P00120000" TargetMode="External"/><Relationship Id="rId94" Type="http://schemas.openxmlformats.org/officeDocument/2006/relationships/hyperlink" Target="http://finance.yahoo.com/q?s=AAPL160617P00140000" TargetMode="External"/><Relationship Id="rId99" Type="http://schemas.openxmlformats.org/officeDocument/2006/relationships/hyperlink" Target="http://finance.yahoo.com/q/op?s=AAPL&amp;strike=155.00" TargetMode="External"/><Relationship Id="rId101" Type="http://schemas.openxmlformats.org/officeDocument/2006/relationships/hyperlink" Target="http://finance.yahoo.com/q/op?s=AAPL&amp;strike=160.00" TargetMode="External"/><Relationship Id="rId4" Type="http://schemas.openxmlformats.org/officeDocument/2006/relationships/hyperlink" Target="http://finance.yahoo.com/q?s=AAPL160617C00060000" TargetMode="External"/><Relationship Id="rId9" Type="http://schemas.openxmlformats.org/officeDocument/2006/relationships/hyperlink" Target="http://finance.yahoo.com/q/op?s=AAPL&amp;strike=75.00" TargetMode="External"/><Relationship Id="rId13" Type="http://schemas.openxmlformats.org/officeDocument/2006/relationships/hyperlink" Target="http://finance.yahoo.com/q/op?s=AAPL&amp;strike=85.00" TargetMode="External"/><Relationship Id="rId18" Type="http://schemas.openxmlformats.org/officeDocument/2006/relationships/hyperlink" Target="http://finance.yahoo.com/q?s=AAPL160617C00095000" TargetMode="External"/><Relationship Id="rId39" Type="http://schemas.openxmlformats.org/officeDocument/2006/relationships/hyperlink" Target="http://finance.yahoo.com/q/op?s=AAPL&amp;strike=150.00" TargetMode="External"/><Relationship Id="rId109" Type="http://schemas.openxmlformats.org/officeDocument/2006/relationships/hyperlink" Target="http://finance.yahoo.com/q/op?s=AAPL&amp;strike=180.00" TargetMode="External"/><Relationship Id="rId34" Type="http://schemas.openxmlformats.org/officeDocument/2006/relationships/hyperlink" Target="http://finance.yahoo.com/q?s=AAPL160617C00135000" TargetMode="External"/><Relationship Id="rId50" Type="http://schemas.openxmlformats.org/officeDocument/2006/relationships/hyperlink" Target="http://finance.yahoo.com/q?s=AAPL160617C00175000" TargetMode="External"/><Relationship Id="rId55" Type="http://schemas.openxmlformats.org/officeDocument/2006/relationships/hyperlink" Target="http://finance.yahoo.com/q/op?s=AAPL&amp;strike=190.00" TargetMode="External"/><Relationship Id="rId76" Type="http://schemas.openxmlformats.org/officeDocument/2006/relationships/hyperlink" Target="http://finance.yahoo.com/q?s=AAPL160617P00095000" TargetMode="External"/><Relationship Id="rId97" Type="http://schemas.openxmlformats.org/officeDocument/2006/relationships/hyperlink" Target="http://finance.yahoo.com/q/op?s=AAPL&amp;strike=150.00" TargetMode="External"/><Relationship Id="rId104" Type="http://schemas.openxmlformats.org/officeDocument/2006/relationships/hyperlink" Target="http://finance.yahoo.com/q?s=AAPL160617P00165000" TargetMode="External"/><Relationship Id="rId7" Type="http://schemas.openxmlformats.org/officeDocument/2006/relationships/hyperlink" Target="http://finance.yahoo.com/q/op?s=AAPL&amp;strike=70.00" TargetMode="External"/><Relationship Id="rId71" Type="http://schemas.openxmlformats.org/officeDocument/2006/relationships/hyperlink" Target="http://finance.yahoo.com/q/op?s=AAPL&amp;strike=85.00" TargetMode="External"/><Relationship Id="rId92" Type="http://schemas.openxmlformats.org/officeDocument/2006/relationships/hyperlink" Target="http://finance.yahoo.com/q?s=AAPL160617P00135000" TargetMode="External"/><Relationship Id="rId2" Type="http://schemas.openxmlformats.org/officeDocument/2006/relationships/hyperlink" Target="http://finance.yahoo.com/q?s=AAPL160617C00055000" TargetMode="External"/><Relationship Id="rId29" Type="http://schemas.openxmlformats.org/officeDocument/2006/relationships/hyperlink" Target="http://finance.yahoo.com/q/op?s=AAPL&amp;strike=125.00" TargetMode="External"/><Relationship Id="rId24" Type="http://schemas.openxmlformats.org/officeDocument/2006/relationships/hyperlink" Target="http://finance.yahoo.com/q?s=AAPL160617C00110000" TargetMode="External"/><Relationship Id="rId40" Type="http://schemas.openxmlformats.org/officeDocument/2006/relationships/hyperlink" Target="http://finance.yahoo.com/q?s=AAPL160617C00150000" TargetMode="External"/><Relationship Id="rId45" Type="http://schemas.openxmlformats.org/officeDocument/2006/relationships/hyperlink" Target="http://finance.yahoo.com/q/op?s=AAPL&amp;strike=165.00" TargetMode="External"/><Relationship Id="rId66" Type="http://schemas.openxmlformats.org/officeDocument/2006/relationships/hyperlink" Target="http://finance.yahoo.com/q?s=AAPL160617P00070000" TargetMode="External"/><Relationship Id="rId87" Type="http://schemas.openxmlformats.org/officeDocument/2006/relationships/hyperlink" Target="http://finance.yahoo.com/q/op?s=AAPL&amp;strike=125.00" TargetMode="External"/><Relationship Id="rId110" Type="http://schemas.openxmlformats.org/officeDocument/2006/relationships/hyperlink" Target="http://finance.yahoo.com/q?s=AAPL160617P00180000" TargetMode="External"/><Relationship Id="rId61" Type="http://schemas.openxmlformats.org/officeDocument/2006/relationships/hyperlink" Target="http://finance.yahoo.com/q/op?s=AAPL&amp;strike=60.00" TargetMode="External"/><Relationship Id="rId82" Type="http://schemas.openxmlformats.org/officeDocument/2006/relationships/hyperlink" Target="http://finance.yahoo.com/q?s=AAPL160617P00110000" TargetMode="External"/><Relationship Id="rId19" Type="http://schemas.openxmlformats.org/officeDocument/2006/relationships/hyperlink" Target="http://finance.yahoo.com/q/op?s=AAPL&amp;strike=100.00" TargetMode="External"/><Relationship Id="rId14" Type="http://schemas.openxmlformats.org/officeDocument/2006/relationships/hyperlink" Target="http://finance.yahoo.com/q?s=AAPL160617C00085000" TargetMode="External"/><Relationship Id="rId30" Type="http://schemas.openxmlformats.org/officeDocument/2006/relationships/hyperlink" Target="http://finance.yahoo.com/q?s=AAPL160617C00125000" TargetMode="External"/><Relationship Id="rId35" Type="http://schemas.openxmlformats.org/officeDocument/2006/relationships/hyperlink" Target="http://finance.yahoo.com/q/op?s=AAPL&amp;strike=140.00" TargetMode="External"/><Relationship Id="rId56" Type="http://schemas.openxmlformats.org/officeDocument/2006/relationships/hyperlink" Target="http://finance.yahoo.com/q?s=AAPL160617C00190000" TargetMode="External"/><Relationship Id="rId77" Type="http://schemas.openxmlformats.org/officeDocument/2006/relationships/hyperlink" Target="http://finance.yahoo.com/q/op?s=AAPL&amp;strike=100.00" TargetMode="External"/><Relationship Id="rId100" Type="http://schemas.openxmlformats.org/officeDocument/2006/relationships/hyperlink" Target="http://finance.yahoo.com/q?s=AAPL160617P00155000" TargetMode="External"/><Relationship Id="rId105" Type="http://schemas.openxmlformats.org/officeDocument/2006/relationships/hyperlink" Target="http://finance.yahoo.com/q/op?s=AAPL&amp;strike=170.00" TargetMode="External"/><Relationship Id="rId8" Type="http://schemas.openxmlformats.org/officeDocument/2006/relationships/hyperlink" Target="http://finance.yahoo.com/q?s=AAPL160617C00070000" TargetMode="External"/><Relationship Id="rId51" Type="http://schemas.openxmlformats.org/officeDocument/2006/relationships/hyperlink" Target="http://finance.yahoo.com/q/op?s=AAPL&amp;strike=180.00" TargetMode="External"/><Relationship Id="rId72" Type="http://schemas.openxmlformats.org/officeDocument/2006/relationships/hyperlink" Target="http://finance.yahoo.com/q?s=AAPL160617P00085000" TargetMode="External"/><Relationship Id="rId93" Type="http://schemas.openxmlformats.org/officeDocument/2006/relationships/hyperlink" Target="http://finance.yahoo.com/q/op?s=AAPL&amp;strike=140.00" TargetMode="External"/><Relationship Id="rId98" Type="http://schemas.openxmlformats.org/officeDocument/2006/relationships/hyperlink" Target="http://finance.yahoo.com/q?s=AAPL160617P00150000" TargetMode="External"/><Relationship Id="rId3" Type="http://schemas.openxmlformats.org/officeDocument/2006/relationships/hyperlink" Target="http://finance.yahoo.com/q/op?s=AAPL&amp;strike=60.00" TargetMode="External"/><Relationship Id="rId25" Type="http://schemas.openxmlformats.org/officeDocument/2006/relationships/hyperlink" Target="http://finance.yahoo.com/q/op?s=AAPL&amp;strike=115.00" TargetMode="External"/><Relationship Id="rId46" Type="http://schemas.openxmlformats.org/officeDocument/2006/relationships/hyperlink" Target="http://finance.yahoo.com/q?s=AAPL160617C00165000" TargetMode="External"/><Relationship Id="rId67" Type="http://schemas.openxmlformats.org/officeDocument/2006/relationships/hyperlink" Target="http://finance.yahoo.com/q/op?s=AAPL&amp;strike=75.00" TargetMode="External"/><Relationship Id="rId20" Type="http://schemas.openxmlformats.org/officeDocument/2006/relationships/hyperlink" Target="http://finance.yahoo.com/q?s=AAPL160617C00100000" TargetMode="External"/><Relationship Id="rId41" Type="http://schemas.openxmlformats.org/officeDocument/2006/relationships/hyperlink" Target="http://finance.yahoo.com/q/op?s=AAPL&amp;strike=155.00" TargetMode="External"/><Relationship Id="rId62" Type="http://schemas.openxmlformats.org/officeDocument/2006/relationships/hyperlink" Target="http://finance.yahoo.com/q?s=AAPL160617P00060000" TargetMode="External"/><Relationship Id="rId83" Type="http://schemas.openxmlformats.org/officeDocument/2006/relationships/hyperlink" Target="http://finance.yahoo.com/q/op?s=AAPL&amp;strike=115.00" TargetMode="External"/><Relationship Id="rId88" Type="http://schemas.openxmlformats.org/officeDocument/2006/relationships/hyperlink" Target="http://finance.yahoo.com/q?s=AAPL160617P00125000" TargetMode="External"/><Relationship Id="rId111" Type="http://schemas.openxmlformats.org/officeDocument/2006/relationships/hyperlink" Target="http://finance.yahoo.com/q/op?s=AAPL&amp;strike=185.00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finance.yahoo.com/q/op?s=AAPL&amp;strike=112.00" TargetMode="External"/><Relationship Id="rId21" Type="http://schemas.openxmlformats.org/officeDocument/2006/relationships/hyperlink" Target="http://finance.yahoo.com/q/op?s=AAPL&amp;strike=104.00" TargetMode="External"/><Relationship Id="rId42" Type="http://schemas.openxmlformats.org/officeDocument/2006/relationships/hyperlink" Target="http://finance.yahoo.com/q?s=AAPL151127C00114000" TargetMode="External"/><Relationship Id="rId63" Type="http://schemas.openxmlformats.org/officeDocument/2006/relationships/hyperlink" Target="http://finance.yahoo.com/q/op?s=AAPL&amp;strike=125.00" TargetMode="External"/><Relationship Id="rId84" Type="http://schemas.openxmlformats.org/officeDocument/2006/relationships/hyperlink" Target="http://finance.yahoo.com/q?s=AAPL151127P00097000" TargetMode="External"/><Relationship Id="rId138" Type="http://schemas.openxmlformats.org/officeDocument/2006/relationships/hyperlink" Target="http://finance.yahoo.com/q?s=AAPL151127P00122000" TargetMode="External"/><Relationship Id="rId107" Type="http://schemas.openxmlformats.org/officeDocument/2006/relationships/hyperlink" Target="http://finance.yahoo.com/q/op?s=AAPL&amp;strike=107.00" TargetMode="External"/><Relationship Id="rId11" Type="http://schemas.openxmlformats.org/officeDocument/2006/relationships/hyperlink" Target="http://finance.yahoo.com/q/op?s=AAPL&amp;strike=99.50" TargetMode="External"/><Relationship Id="rId32" Type="http://schemas.openxmlformats.org/officeDocument/2006/relationships/hyperlink" Target="http://finance.yahoo.com/q?s=AAPL151127C00109000" TargetMode="External"/><Relationship Id="rId53" Type="http://schemas.openxmlformats.org/officeDocument/2006/relationships/hyperlink" Target="http://finance.yahoo.com/q/op?s=AAPL&amp;strike=120.00" TargetMode="External"/><Relationship Id="rId74" Type="http://schemas.openxmlformats.org/officeDocument/2006/relationships/hyperlink" Target="http://finance.yahoo.com/q?s=AAPL151127P00080000" TargetMode="External"/><Relationship Id="rId128" Type="http://schemas.openxmlformats.org/officeDocument/2006/relationships/hyperlink" Target="http://finance.yahoo.com/q?s=AAPL151127P00117000" TargetMode="External"/><Relationship Id="rId5" Type="http://schemas.openxmlformats.org/officeDocument/2006/relationships/hyperlink" Target="http://finance.yahoo.com/q/op?s=AAPL&amp;strike=96.00" TargetMode="External"/><Relationship Id="rId90" Type="http://schemas.openxmlformats.org/officeDocument/2006/relationships/hyperlink" Target="http://finance.yahoo.com/q?s=AAPL151127P00099000" TargetMode="External"/><Relationship Id="rId95" Type="http://schemas.openxmlformats.org/officeDocument/2006/relationships/hyperlink" Target="http://finance.yahoo.com/q/op?s=AAPL&amp;strike=101.00" TargetMode="External"/><Relationship Id="rId22" Type="http://schemas.openxmlformats.org/officeDocument/2006/relationships/hyperlink" Target="http://finance.yahoo.com/q?s=AAPL151127C00104000" TargetMode="External"/><Relationship Id="rId27" Type="http://schemas.openxmlformats.org/officeDocument/2006/relationships/hyperlink" Target="http://finance.yahoo.com/q/op?s=AAPL&amp;strike=107.00" TargetMode="External"/><Relationship Id="rId43" Type="http://schemas.openxmlformats.org/officeDocument/2006/relationships/hyperlink" Target="http://finance.yahoo.com/q/op?s=AAPL&amp;strike=115.00" TargetMode="External"/><Relationship Id="rId48" Type="http://schemas.openxmlformats.org/officeDocument/2006/relationships/hyperlink" Target="http://finance.yahoo.com/q?s=AAPL151127C00117000" TargetMode="External"/><Relationship Id="rId64" Type="http://schemas.openxmlformats.org/officeDocument/2006/relationships/hyperlink" Target="http://finance.yahoo.com/q?s=AAPL151127C00125000" TargetMode="External"/><Relationship Id="rId69" Type="http://schemas.openxmlformats.org/officeDocument/2006/relationships/hyperlink" Target="http://finance.yahoo.com/q/op?s=AAPL&amp;strike=70.00" TargetMode="External"/><Relationship Id="rId113" Type="http://schemas.openxmlformats.org/officeDocument/2006/relationships/hyperlink" Target="http://finance.yahoo.com/q/op?s=AAPL&amp;strike=110.00" TargetMode="External"/><Relationship Id="rId118" Type="http://schemas.openxmlformats.org/officeDocument/2006/relationships/hyperlink" Target="http://finance.yahoo.com/q?s=AAPL151127P00112000" TargetMode="External"/><Relationship Id="rId134" Type="http://schemas.openxmlformats.org/officeDocument/2006/relationships/hyperlink" Target="http://finance.yahoo.com/q?s=AAPL151127P00120000" TargetMode="External"/><Relationship Id="rId139" Type="http://schemas.openxmlformats.org/officeDocument/2006/relationships/hyperlink" Target="http://finance.yahoo.com/q/op?s=AAPL&amp;strike=123.00" TargetMode="External"/><Relationship Id="rId80" Type="http://schemas.openxmlformats.org/officeDocument/2006/relationships/hyperlink" Target="http://finance.yahoo.com/q?s=AAPL151127P00095000" TargetMode="External"/><Relationship Id="rId85" Type="http://schemas.openxmlformats.org/officeDocument/2006/relationships/hyperlink" Target="http://finance.yahoo.com/q/op?s=AAPL&amp;strike=98.00" TargetMode="External"/><Relationship Id="rId12" Type="http://schemas.openxmlformats.org/officeDocument/2006/relationships/hyperlink" Target="http://finance.yahoo.com/q?s=AAPL151127C00099500" TargetMode="External"/><Relationship Id="rId17" Type="http://schemas.openxmlformats.org/officeDocument/2006/relationships/hyperlink" Target="http://finance.yahoo.com/q/op?s=AAPL&amp;strike=102.00" TargetMode="External"/><Relationship Id="rId33" Type="http://schemas.openxmlformats.org/officeDocument/2006/relationships/hyperlink" Target="http://finance.yahoo.com/q/op?s=AAPL&amp;strike=110.00" TargetMode="External"/><Relationship Id="rId38" Type="http://schemas.openxmlformats.org/officeDocument/2006/relationships/hyperlink" Target="http://finance.yahoo.com/q?s=AAPL151127C00112000" TargetMode="External"/><Relationship Id="rId59" Type="http://schemas.openxmlformats.org/officeDocument/2006/relationships/hyperlink" Target="http://finance.yahoo.com/q/op?s=AAPL&amp;strike=123.00" TargetMode="External"/><Relationship Id="rId103" Type="http://schemas.openxmlformats.org/officeDocument/2006/relationships/hyperlink" Target="http://finance.yahoo.com/q/op?s=AAPL&amp;strike=105.00" TargetMode="External"/><Relationship Id="rId108" Type="http://schemas.openxmlformats.org/officeDocument/2006/relationships/hyperlink" Target="http://finance.yahoo.com/q?s=AAPL151127P00107000" TargetMode="External"/><Relationship Id="rId124" Type="http://schemas.openxmlformats.org/officeDocument/2006/relationships/hyperlink" Target="http://finance.yahoo.com/q?s=AAPL151127P00115000" TargetMode="External"/><Relationship Id="rId129" Type="http://schemas.openxmlformats.org/officeDocument/2006/relationships/hyperlink" Target="http://finance.yahoo.com/q/op?s=AAPL&amp;strike=118.00" TargetMode="External"/><Relationship Id="rId54" Type="http://schemas.openxmlformats.org/officeDocument/2006/relationships/hyperlink" Target="http://finance.yahoo.com/q?s=AAPL151127C00120000" TargetMode="External"/><Relationship Id="rId70" Type="http://schemas.openxmlformats.org/officeDocument/2006/relationships/hyperlink" Target="http://finance.yahoo.com/q?s=AAPL151127P00070000" TargetMode="External"/><Relationship Id="rId75" Type="http://schemas.openxmlformats.org/officeDocument/2006/relationships/hyperlink" Target="http://finance.yahoo.com/q/op?s=AAPL&amp;strike=85.00" TargetMode="External"/><Relationship Id="rId91" Type="http://schemas.openxmlformats.org/officeDocument/2006/relationships/hyperlink" Target="http://finance.yahoo.com/q/op?s=AAPL&amp;strike=99.50" TargetMode="External"/><Relationship Id="rId96" Type="http://schemas.openxmlformats.org/officeDocument/2006/relationships/hyperlink" Target="http://finance.yahoo.com/q?s=AAPL151127P00101000" TargetMode="External"/><Relationship Id="rId140" Type="http://schemas.openxmlformats.org/officeDocument/2006/relationships/hyperlink" Target="http://finance.yahoo.com/q?s=AAPL151127P00123000" TargetMode="External"/><Relationship Id="rId145" Type="http://schemas.openxmlformats.org/officeDocument/2006/relationships/hyperlink" Target="http://finance.yahoo.com/q/op?s=AAPL&amp;strike=130.00" TargetMode="External"/><Relationship Id="rId1" Type="http://schemas.openxmlformats.org/officeDocument/2006/relationships/hyperlink" Target="http://finance.yahoo.com/q/op?s=AAPL&amp;strike=90.00" TargetMode="External"/><Relationship Id="rId6" Type="http://schemas.openxmlformats.org/officeDocument/2006/relationships/hyperlink" Target="http://finance.yahoo.com/q?s=AAPL151127C00096000" TargetMode="External"/><Relationship Id="rId23" Type="http://schemas.openxmlformats.org/officeDocument/2006/relationships/hyperlink" Target="http://finance.yahoo.com/q/op?s=AAPL&amp;strike=105.00" TargetMode="External"/><Relationship Id="rId28" Type="http://schemas.openxmlformats.org/officeDocument/2006/relationships/hyperlink" Target="http://finance.yahoo.com/q?s=AAPL151127C00107000" TargetMode="External"/><Relationship Id="rId49" Type="http://schemas.openxmlformats.org/officeDocument/2006/relationships/hyperlink" Target="http://finance.yahoo.com/q/op?s=AAPL&amp;strike=118.00" TargetMode="External"/><Relationship Id="rId114" Type="http://schemas.openxmlformats.org/officeDocument/2006/relationships/hyperlink" Target="http://finance.yahoo.com/q?s=AAPL151127P00110000" TargetMode="External"/><Relationship Id="rId119" Type="http://schemas.openxmlformats.org/officeDocument/2006/relationships/hyperlink" Target="http://finance.yahoo.com/q/op?s=AAPL&amp;strike=113.00" TargetMode="External"/><Relationship Id="rId44" Type="http://schemas.openxmlformats.org/officeDocument/2006/relationships/hyperlink" Target="http://finance.yahoo.com/q?s=AAPL151127C00115000" TargetMode="External"/><Relationship Id="rId60" Type="http://schemas.openxmlformats.org/officeDocument/2006/relationships/hyperlink" Target="http://finance.yahoo.com/q?s=AAPL151127C00123000" TargetMode="External"/><Relationship Id="rId65" Type="http://schemas.openxmlformats.org/officeDocument/2006/relationships/hyperlink" Target="http://finance.yahoo.com/q/op?s=AAPL&amp;strike=130.00" TargetMode="External"/><Relationship Id="rId81" Type="http://schemas.openxmlformats.org/officeDocument/2006/relationships/hyperlink" Target="http://finance.yahoo.com/q/op?s=AAPL&amp;strike=96.00" TargetMode="External"/><Relationship Id="rId86" Type="http://schemas.openxmlformats.org/officeDocument/2006/relationships/hyperlink" Target="http://finance.yahoo.com/q?s=AAPL151127P00098000" TargetMode="External"/><Relationship Id="rId130" Type="http://schemas.openxmlformats.org/officeDocument/2006/relationships/hyperlink" Target="http://finance.yahoo.com/q?s=AAPL151127P00118000" TargetMode="External"/><Relationship Id="rId135" Type="http://schemas.openxmlformats.org/officeDocument/2006/relationships/hyperlink" Target="http://finance.yahoo.com/q/op?s=AAPL&amp;strike=121.00" TargetMode="External"/><Relationship Id="rId13" Type="http://schemas.openxmlformats.org/officeDocument/2006/relationships/hyperlink" Target="http://finance.yahoo.com/q/op?s=AAPL&amp;strike=100.00" TargetMode="External"/><Relationship Id="rId18" Type="http://schemas.openxmlformats.org/officeDocument/2006/relationships/hyperlink" Target="http://finance.yahoo.com/q?s=AAPL151127C00102000" TargetMode="External"/><Relationship Id="rId39" Type="http://schemas.openxmlformats.org/officeDocument/2006/relationships/hyperlink" Target="http://finance.yahoo.com/q/op?s=AAPL&amp;strike=113.00" TargetMode="External"/><Relationship Id="rId109" Type="http://schemas.openxmlformats.org/officeDocument/2006/relationships/hyperlink" Target="http://finance.yahoo.com/q/op?s=AAPL&amp;strike=108.00" TargetMode="External"/><Relationship Id="rId34" Type="http://schemas.openxmlformats.org/officeDocument/2006/relationships/hyperlink" Target="http://finance.yahoo.com/q?s=AAPL151127C00110000" TargetMode="External"/><Relationship Id="rId50" Type="http://schemas.openxmlformats.org/officeDocument/2006/relationships/hyperlink" Target="http://finance.yahoo.com/q?s=AAPL151127C00118000" TargetMode="External"/><Relationship Id="rId55" Type="http://schemas.openxmlformats.org/officeDocument/2006/relationships/hyperlink" Target="http://finance.yahoo.com/q/op?s=AAPL&amp;strike=121.00" TargetMode="External"/><Relationship Id="rId76" Type="http://schemas.openxmlformats.org/officeDocument/2006/relationships/hyperlink" Target="http://finance.yahoo.com/q?s=AAPL151127P00085000" TargetMode="External"/><Relationship Id="rId97" Type="http://schemas.openxmlformats.org/officeDocument/2006/relationships/hyperlink" Target="http://finance.yahoo.com/q/op?s=AAPL&amp;strike=102.00" TargetMode="External"/><Relationship Id="rId104" Type="http://schemas.openxmlformats.org/officeDocument/2006/relationships/hyperlink" Target="http://finance.yahoo.com/q?s=AAPL151127P00105000" TargetMode="External"/><Relationship Id="rId120" Type="http://schemas.openxmlformats.org/officeDocument/2006/relationships/hyperlink" Target="http://finance.yahoo.com/q?s=AAPL151127P00113000" TargetMode="External"/><Relationship Id="rId125" Type="http://schemas.openxmlformats.org/officeDocument/2006/relationships/hyperlink" Target="http://finance.yahoo.com/q/op?s=AAPL&amp;strike=116.00" TargetMode="External"/><Relationship Id="rId141" Type="http://schemas.openxmlformats.org/officeDocument/2006/relationships/hyperlink" Target="http://finance.yahoo.com/q/op?s=AAPL&amp;strike=124.00" TargetMode="External"/><Relationship Id="rId146" Type="http://schemas.openxmlformats.org/officeDocument/2006/relationships/hyperlink" Target="http://finance.yahoo.com/q?s=AAPL151127P00130000" TargetMode="External"/><Relationship Id="rId7" Type="http://schemas.openxmlformats.org/officeDocument/2006/relationships/hyperlink" Target="http://finance.yahoo.com/q/op?s=AAPL&amp;strike=97.00" TargetMode="External"/><Relationship Id="rId71" Type="http://schemas.openxmlformats.org/officeDocument/2006/relationships/hyperlink" Target="http://finance.yahoo.com/q/op?s=AAPL&amp;strike=75.00" TargetMode="External"/><Relationship Id="rId92" Type="http://schemas.openxmlformats.org/officeDocument/2006/relationships/hyperlink" Target="http://finance.yahoo.com/q?s=AAPL151127P00099500" TargetMode="External"/><Relationship Id="rId2" Type="http://schemas.openxmlformats.org/officeDocument/2006/relationships/hyperlink" Target="http://finance.yahoo.com/q?s=AAPL151127C00090000" TargetMode="External"/><Relationship Id="rId29" Type="http://schemas.openxmlformats.org/officeDocument/2006/relationships/hyperlink" Target="http://finance.yahoo.com/q/op?s=AAPL&amp;strike=108.00" TargetMode="External"/><Relationship Id="rId24" Type="http://schemas.openxmlformats.org/officeDocument/2006/relationships/hyperlink" Target="http://finance.yahoo.com/q?s=AAPL151127C00105000" TargetMode="External"/><Relationship Id="rId40" Type="http://schemas.openxmlformats.org/officeDocument/2006/relationships/hyperlink" Target="http://finance.yahoo.com/q?s=AAPL151127C00113000" TargetMode="External"/><Relationship Id="rId45" Type="http://schemas.openxmlformats.org/officeDocument/2006/relationships/hyperlink" Target="http://finance.yahoo.com/q/op?s=AAPL&amp;strike=116.00" TargetMode="External"/><Relationship Id="rId66" Type="http://schemas.openxmlformats.org/officeDocument/2006/relationships/hyperlink" Target="http://finance.yahoo.com/q?s=AAPL151127C00130000" TargetMode="External"/><Relationship Id="rId87" Type="http://schemas.openxmlformats.org/officeDocument/2006/relationships/hyperlink" Target="http://finance.yahoo.com/q/op?s=AAPL&amp;strike=98.50" TargetMode="External"/><Relationship Id="rId110" Type="http://schemas.openxmlformats.org/officeDocument/2006/relationships/hyperlink" Target="http://finance.yahoo.com/q?s=AAPL151127P00108000" TargetMode="External"/><Relationship Id="rId115" Type="http://schemas.openxmlformats.org/officeDocument/2006/relationships/hyperlink" Target="http://finance.yahoo.com/q/op?s=AAPL&amp;strike=111.00" TargetMode="External"/><Relationship Id="rId131" Type="http://schemas.openxmlformats.org/officeDocument/2006/relationships/hyperlink" Target="http://finance.yahoo.com/q/op?s=AAPL&amp;strike=119.00" TargetMode="External"/><Relationship Id="rId136" Type="http://schemas.openxmlformats.org/officeDocument/2006/relationships/hyperlink" Target="http://finance.yahoo.com/q?s=AAPL151127P00121000" TargetMode="External"/><Relationship Id="rId61" Type="http://schemas.openxmlformats.org/officeDocument/2006/relationships/hyperlink" Target="http://finance.yahoo.com/q/op?s=AAPL&amp;strike=124.00" TargetMode="External"/><Relationship Id="rId82" Type="http://schemas.openxmlformats.org/officeDocument/2006/relationships/hyperlink" Target="http://finance.yahoo.com/q?s=AAPL151127P00096000" TargetMode="External"/><Relationship Id="rId19" Type="http://schemas.openxmlformats.org/officeDocument/2006/relationships/hyperlink" Target="http://finance.yahoo.com/q/op?s=AAPL&amp;strike=103.00" TargetMode="External"/><Relationship Id="rId14" Type="http://schemas.openxmlformats.org/officeDocument/2006/relationships/hyperlink" Target="http://finance.yahoo.com/q?s=AAPL151127C00100000" TargetMode="External"/><Relationship Id="rId30" Type="http://schemas.openxmlformats.org/officeDocument/2006/relationships/hyperlink" Target="http://finance.yahoo.com/q?s=AAPL151127C00108000" TargetMode="External"/><Relationship Id="rId35" Type="http://schemas.openxmlformats.org/officeDocument/2006/relationships/hyperlink" Target="http://finance.yahoo.com/q/op?s=AAPL&amp;strike=111.00" TargetMode="External"/><Relationship Id="rId56" Type="http://schemas.openxmlformats.org/officeDocument/2006/relationships/hyperlink" Target="http://finance.yahoo.com/q?s=AAPL151127C00121000" TargetMode="External"/><Relationship Id="rId77" Type="http://schemas.openxmlformats.org/officeDocument/2006/relationships/hyperlink" Target="http://finance.yahoo.com/q/op?s=AAPL&amp;strike=90.00" TargetMode="External"/><Relationship Id="rId100" Type="http://schemas.openxmlformats.org/officeDocument/2006/relationships/hyperlink" Target="http://finance.yahoo.com/q?s=AAPL151127P00103000" TargetMode="External"/><Relationship Id="rId105" Type="http://schemas.openxmlformats.org/officeDocument/2006/relationships/hyperlink" Target="http://finance.yahoo.com/q/op?s=AAPL&amp;strike=106.00" TargetMode="External"/><Relationship Id="rId126" Type="http://schemas.openxmlformats.org/officeDocument/2006/relationships/hyperlink" Target="http://finance.yahoo.com/q?s=AAPL151127P00116000" TargetMode="External"/><Relationship Id="rId147" Type="http://schemas.openxmlformats.org/officeDocument/2006/relationships/hyperlink" Target="http://finance.yahoo.com/q/op?s=AAPL&amp;strike=135.00" TargetMode="External"/><Relationship Id="rId8" Type="http://schemas.openxmlformats.org/officeDocument/2006/relationships/hyperlink" Target="http://finance.yahoo.com/q?s=AAPL151127C00097000" TargetMode="External"/><Relationship Id="rId51" Type="http://schemas.openxmlformats.org/officeDocument/2006/relationships/hyperlink" Target="http://finance.yahoo.com/q/op?s=AAPL&amp;strike=119.00" TargetMode="External"/><Relationship Id="rId72" Type="http://schemas.openxmlformats.org/officeDocument/2006/relationships/hyperlink" Target="http://finance.yahoo.com/q?s=AAPL151127P00075000" TargetMode="External"/><Relationship Id="rId93" Type="http://schemas.openxmlformats.org/officeDocument/2006/relationships/hyperlink" Target="http://finance.yahoo.com/q/op?s=AAPL&amp;strike=100.00" TargetMode="External"/><Relationship Id="rId98" Type="http://schemas.openxmlformats.org/officeDocument/2006/relationships/hyperlink" Target="http://finance.yahoo.com/q?s=AAPL151127P00102000" TargetMode="External"/><Relationship Id="rId121" Type="http://schemas.openxmlformats.org/officeDocument/2006/relationships/hyperlink" Target="http://finance.yahoo.com/q/op?s=AAPL&amp;strike=114.00" TargetMode="External"/><Relationship Id="rId142" Type="http://schemas.openxmlformats.org/officeDocument/2006/relationships/hyperlink" Target="http://finance.yahoo.com/q?s=AAPL151127P00124000" TargetMode="External"/><Relationship Id="rId3" Type="http://schemas.openxmlformats.org/officeDocument/2006/relationships/hyperlink" Target="http://finance.yahoo.com/q/op?s=AAPL&amp;strike=95.00" TargetMode="External"/><Relationship Id="rId25" Type="http://schemas.openxmlformats.org/officeDocument/2006/relationships/hyperlink" Target="http://finance.yahoo.com/q/op?s=AAPL&amp;strike=106.00" TargetMode="External"/><Relationship Id="rId46" Type="http://schemas.openxmlformats.org/officeDocument/2006/relationships/hyperlink" Target="http://finance.yahoo.com/q?s=AAPL151127C00116000" TargetMode="External"/><Relationship Id="rId67" Type="http://schemas.openxmlformats.org/officeDocument/2006/relationships/hyperlink" Target="http://finance.yahoo.com/q/op?s=AAPL&amp;strike=135.00" TargetMode="External"/><Relationship Id="rId116" Type="http://schemas.openxmlformats.org/officeDocument/2006/relationships/hyperlink" Target="http://finance.yahoo.com/q?s=AAPL151127P00111000" TargetMode="External"/><Relationship Id="rId137" Type="http://schemas.openxmlformats.org/officeDocument/2006/relationships/hyperlink" Target="http://finance.yahoo.com/q/op?s=AAPL&amp;strike=122.00" TargetMode="External"/><Relationship Id="rId20" Type="http://schemas.openxmlformats.org/officeDocument/2006/relationships/hyperlink" Target="http://finance.yahoo.com/q?s=AAPL151127C00103000" TargetMode="External"/><Relationship Id="rId41" Type="http://schemas.openxmlformats.org/officeDocument/2006/relationships/hyperlink" Target="http://finance.yahoo.com/q/op?s=AAPL&amp;strike=114.00" TargetMode="External"/><Relationship Id="rId62" Type="http://schemas.openxmlformats.org/officeDocument/2006/relationships/hyperlink" Target="http://finance.yahoo.com/q?s=AAPL151127C00124000" TargetMode="External"/><Relationship Id="rId83" Type="http://schemas.openxmlformats.org/officeDocument/2006/relationships/hyperlink" Target="http://finance.yahoo.com/q/op?s=AAPL&amp;strike=97.00" TargetMode="External"/><Relationship Id="rId88" Type="http://schemas.openxmlformats.org/officeDocument/2006/relationships/hyperlink" Target="http://finance.yahoo.com/q?s=AAPL151127P00098500" TargetMode="External"/><Relationship Id="rId111" Type="http://schemas.openxmlformats.org/officeDocument/2006/relationships/hyperlink" Target="http://finance.yahoo.com/q/op?s=AAPL&amp;strike=109.00" TargetMode="External"/><Relationship Id="rId132" Type="http://schemas.openxmlformats.org/officeDocument/2006/relationships/hyperlink" Target="http://finance.yahoo.com/q?s=AAPL151127P00119000" TargetMode="External"/><Relationship Id="rId15" Type="http://schemas.openxmlformats.org/officeDocument/2006/relationships/hyperlink" Target="http://finance.yahoo.com/q/op?s=AAPL&amp;strike=101.00" TargetMode="External"/><Relationship Id="rId36" Type="http://schemas.openxmlformats.org/officeDocument/2006/relationships/hyperlink" Target="http://finance.yahoo.com/q?s=AAPL151127C00111000" TargetMode="External"/><Relationship Id="rId57" Type="http://schemas.openxmlformats.org/officeDocument/2006/relationships/hyperlink" Target="http://finance.yahoo.com/q/op?s=AAPL&amp;strike=122.00" TargetMode="External"/><Relationship Id="rId106" Type="http://schemas.openxmlformats.org/officeDocument/2006/relationships/hyperlink" Target="http://finance.yahoo.com/q?s=AAPL151127P00106000" TargetMode="External"/><Relationship Id="rId127" Type="http://schemas.openxmlformats.org/officeDocument/2006/relationships/hyperlink" Target="http://finance.yahoo.com/q/op?s=AAPL&amp;strike=117.00" TargetMode="External"/><Relationship Id="rId10" Type="http://schemas.openxmlformats.org/officeDocument/2006/relationships/hyperlink" Target="http://finance.yahoo.com/q?s=AAPL151127C00098500" TargetMode="External"/><Relationship Id="rId31" Type="http://schemas.openxmlformats.org/officeDocument/2006/relationships/hyperlink" Target="http://finance.yahoo.com/q/op?s=AAPL&amp;strike=109.00" TargetMode="External"/><Relationship Id="rId52" Type="http://schemas.openxmlformats.org/officeDocument/2006/relationships/hyperlink" Target="http://finance.yahoo.com/q?s=AAPL151127C00119000" TargetMode="External"/><Relationship Id="rId73" Type="http://schemas.openxmlformats.org/officeDocument/2006/relationships/hyperlink" Target="http://finance.yahoo.com/q/op?s=AAPL&amp;strike=80.00" TargetMode="External"/><Relationship Id="rId78" Type="http://schemas.openxmlformats.org/officeDocument/2006/relationships/hyperlink" Target="http://finance.yahoo.com/q?s=AAPL151127P00090000" TargetMode="External"/><Relationship Id="rId94" Type="http://schemas.openxmlformats.org/officeDocument/2006/relationships/hyperlink" Target="http://finance.yahoo.com/q?s=AAPL151127P00100000" TargetMode="External"/><Relationship Id="rId99" Type="http://schemas.openxmlformats.org/officeDocument/2006/relationships/hyperlink" Target="http://finance.yahoo.com/q/op?s=AAPL&amp;strike=103.00" TargetMode="External"/><Relationship Id="rId101" Type="http://schemas.openxmlformats.org/officeDocument/2006/relationships/hyperlink" Target="http://finance.yahoo.com/q/op?s=AAPL&amp;strike=104.00" TargetMode="External"/><Relationship Id="rId122" Type="http://schemas.openxmlformats.org/officeDocument/2006/relationships/hyperlink" Target="http://finance.yahoo.com/q?s=AAPL151127P00114000" TargetMode="External"/><Relationship Id="rId143" Type="http://schemas.openxmlformats.org/officeDocument/2006/relationships/hyperlink" Target="http://finance.yahoo.com/q/op?s=AAPL&amp;strike=125.00" TargetMode="External"/><Relationship Id="rId148" Type="http://schemas.openxmlformats.org/officeDocument/2006/relationships/hyperlink" Target="http://finance.yahoo.com/q?s=AAPL151127P00135000" TargetMode="External"/><Relationship Id="rId4" Type="http://schemas.openxmlformats.org/officeDocument/2006/relationships/hyperlink" Target="http://finance.yahoo.com/q?s=AAPL151127C00095000" TargetMode="External"/><Relationship Id="rId9" Type="http://schemas.openxmlformats.org/officeDocument/2006/relationships/hyperlink" Target="http://finance.yahoo.com/q/op?s=AAPL&amp;strike=98.50" TargetMode="External"/><Relationship Id="rId26" Type="http://schemas.openxmlformats.org/officeDocument/2006/relationships/hyperlink" Target="http://finance.yahoo.com/q?s=AAPL151127C00106000" TargetMode="External"/><Relationship Id="rId47" Type="http://schemas.openxmlformats.org/officeDocument/2006/relationships/hyperlink" Target="http://finance.yahoo.com/q/op?s=AAPL&amp;strike=117.00" TargetMode="External"/><Relationship Id="rId68" Type="http://schemas.openxmlformats.org/officeDocument/2006/relationships/hyperlink" Target="http://finance.yahoo.com/q?s=AAPL151127C00135000" TargetMode="External"/><Relationship Id="rId89" Type="http://schemas.openxmlformats.org/officeDocument/2006/relationships/hyperlink" Target="http://finance.yahoo.com/q/op?s=AAPL&amp;strike=99.00" TargetMode="External"/><Relationship Id="rId112" Type="http://schemas.openxmlformats.org/officeDocument/2006/relationships/hyperlink" Target="http://finance.yahoo.com/q?s=AAPL151127P00109000" TargetMode="External"/><Relationship Id="rId133" Type="http://schemas.openxmlformats.org/officeDocument/2006/relationships/hyperlink" Target="http://finance.yahoo.com/q/op?s=AAPL&amp;strike=120.00" TargetMode="External"/><Relationship Id="rId16" Type="http://schemas.openxmlformats.org/officeDocument/2006/relationships/hyperlink" Target="http://finance.yahoo.com/q?s=AAPL151127C00101000" TargetMode="External"/><Relationship Id="rId37" Type="http://schemas.openxmlformats.org/officeDocument/2006/relationships/hyperlink" Target="http://finance.yahoo.com/q/op?s=AAPL&amp;strike=112.00" TargetMode="External"/><Relationship Id="rId58" Type="http://schemas.openxmlformats.org/officeDocument/2006/relationships/hyperlink" Target="http://finance.yahoo.com/q?s=AAPL151127C00122000" TargetMode="External"/><Relationship Id="rId79" Type="http://schemas.openxmlformats.org/officeDocument/2006/relationships/hyperlink" Target="http://finance.yahoo.com/q/op?s=AAPL&amp;strike=95.00" TargetMode="External"/><Relationship Id="rId102" Type="http://schemas.openxmlformats.org/officeDocument/2006/relationships/hyperlink" Target="http://finance.yahoo.com/q?s=AAPL151127P00104000" TargetMode="External"/><Relationship Id="rId123" Type="http://schemas.openxmlformats.org/officeDocument/2006/relationships/hyperlink" Target="http://finance.yahoo.com/q/op?s=AAPL&amp;strike=115.00" TargetMode="External"/><Relationship Id="rId144" Type="http://schemas.openxmlformats.org/officeDocument/2006/relationships/hyperlink" Target="http://finance.yahoo.com/q?s=AAPL151127P00125000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AAPL151218C00125000" TargetMode="External"/><Relationship Id="rId21" Type="http://schemas.openxmlformats.org/officeDocument/2006/relationships/hyperlink" Target="http://finance.yahoo.com/q/op?s=AAPL&amp;strike=115.00" TargetMode="External"/><Relationship Id="rId42" Type="http://schemas.openxmlformats.org/officeDocument/2006/relationships/hyperlink" Target="http://finance.yahoo.com/q?s=AAPL151218C00165000" TargetMode="External"/><Relationship Id="rId47" Type="http://schemas.openxmlformats.org/officeDocument/2006/relationships/hyperlink" Target="http://finance.yahoo.com/q/op?s=AAPL&amp;strike=180.00" TargetMode="External"/><Relationship Id="rId63" Type="http://schemas.openxmlformats.org/officeDocument/2006/relationships/hyperlink" Target="http://finance.yahoo.com/q/op?s=AAPL&amp;strike=80.00" TargetMode="External"/><Relationship Id="rId68" Type="http://schemas.openxmlformats.org/officeDocument/2006/relationships/hyperlink" Target="http://finance.yahoo.com/q?s=AAPL151218P00090000" TargetMode="External"/><Relationship Id="rId84" Type="http://schemas.openxmlformats.org/officeDocument/2006/relationships/hyperlink" Target="http://finance.yahoo.com/q?s=AAPL151218P00130000" TargetMode="External"/><Relationship Id="rId89" Type="http://schemas.openxmlformats.org/officeDocument/2006/relationships/hyperlink" Target="http://finance.yahoo.com/q/op?s=AAPL&amp;strike=145.00" TargetMode="External"/><Relationship Id="rId16" Type="http://schemas.openxmlformats.org/officeDocument/2006/relationships/hyperlink" Target="http://finance.yahoo.com/q?s=AAPL151218C00100000" TargetMode="External"/><Relationship Id="rId107" Type="http://schemas.openxmlformats.org/officeDocument/2006/relationships/hyperlink" Target="http://finance.yahoo.com/q/op?s=AAPL&amp;strike=190.00" TargetMode="External"/><Relationship Id="rId11" Type="http://schemas.openxmlformats.org/officeDocument/2006/relationships/hyperlink" Target="http://finance.yahoo.com/q/op?s=AAPL&amp;strike=90.00" TargetMode="External"/><Relationship Id="rId32" Type="http://schemas.openxmlformats.org/officeDocument/2006/relationships/hyperlink" Target="http://finance.yahoo.com/q?s=AAPL151218C00140000" TargetMode="External"/><Relationship Id="rId37" Type="http://schemas.openxmlformats.org/officeDocument/2006/relationships/hyperlink" Target="http://finance.yahoo.com/q/op?s=AAPL&amp;strike=155.00" TargetMode="External"/><Relationship Id="rId53" Type="http://schemas.openxmlformats.org/officeDocument/2006/relationships/hyperlink" Target="http://finance.yahoo.com/q/op?s=AAPL&amp;strike=55.00" TargetMode="External"/><Relationship Id="rId58" Type="http://schemas.openxmlformats.org/officeDocument/2006/relationships/hyperlink" Target="http://finance.yahoo.com/q?s=AAPL151218P00065000" TargetMode="External"/><Relationship Id="rId74" Type="http://schemas.openxmlformats.org/officeDocument/2006/relationships/hyperlink" Target="http://finance.yahoo.com/q?s=AAPL151218P00105000" TargetMode="External"/><Relationship Id="rId79" Type="http://schemas.openxmlformats.org/officeDocument/2006/relationships/hyperlink" Target="http://finance.yahoo.com/q/op?s=AAPL&amp;strike=120.00" TargetMode="External"/><Relationship Id="rId102" Type="http://schemas.openxmlformats.org/officeDocument/2006/relationships/hyperlink" Target="http://finance.yahoo.com/q?s=AAPL151218P00175000" TargetMode="External"/><Relationship Id="rId5" Type="http://schemas.openxmlformats.org/officeDocument/2006/relationships/hyperlink" Target="http://finance.yahoo.com/q/op?s=AAPL&amp;strike=75.00" TargetMode="External"/><Relationship Id="rId90" Type="http://schemas.openxmlformats.org/officeDocument/2006/relationships/hyperlink" Target="http://finance.yahoo.com/q?s=AAPL151218P00145000" TargetMode="External"/><Relationship Id="rId95" Type="http://schemas.openxmlformats.org/officeDocument/2006/relationships/hyperlink" Target="http://finance.yahoo.com/q/op?s=AAPL&amp;strike=160.00" TargetMode="External"/><Relationship Id="rId22" Type="http://schemas.openxmlformats.org/officeDocument/2006/relationships/hyperlink" Target="http://finance.yahoo.com/q?s=AAPL151218C00115000" TargetMode="External"/><Relationship Id="rId27" Type="http://schemas.openxmlformats.org/officeDocument/2006/relationships/hyperlink" Target="http://finance.yahoo.com/q/op?s=AAPL&amp;strike=130.00" TargetMode="External"/><Relationship Id="rId43" Type="http://schemas.openxmlformats.org/officeDocument/2006/relationships/hyperlink" Target="http://finance.yahoo.com/q/op?s=AAPL&amp;strike=170.00" TargetMode="External"/><Relationship Id="rId48" Type="http://schemas.openxmlformats.org/officeDocument/2006/relationships/hyperlink" Target="http://finance.yahoo.com/q?s=AAPL151218C00180000" TargetMode="External"/><Relationship Id="rId64" Type="http://schemas.openxmlformats.org/officeDocument/2006/relationships/hyperlink" Target="http://finance.yahoo.com/q?s=AAPL151218P00080000" TargetMode="External"/><Relationship Id="rId69" Type="http://schemas.openxmlformats.org/officeDocument/2006/relationships/hyperlink" Target="http://finance.yahoo.com/q/op?s=AAPL&amp;strike=95.00" TargetMode="External"/><Relationship Id="rId80" Type="http://schemas.openxmlformats.org/officeDocument/2006/relationships/hyperlink" Target="http://finance.yahoo.com/q?s=AAPL151218P00120000" TargetMode="External"/><Relationship Id="rId85" Type="http://schemas.openxmlformats.org/officeDocument/2006/relationships/hyperlink" Target="http://finance.yahoo.com/q/op?s=AAPL&amp;strike=135.00" TargetMode="External"/><Relationship Id="rId12" Type="http://schemas.openxmlformats.org/officeDocument/2006/relationships/hyperlink" Target="http://finance.yahoo.com/q?s=AAPL151218C00090000" TargetMode="External"/><Relationship Id="rId17" Type="http://schemas.openxmlformats.org/officeDocument/2006/relationships/hyperlink" Target="http://finance.yahoo.com/q/op?s=AAPL&amp;strike=105.00" TargetMode="External"/><Relationship Id="rId33" Type="http://schemas.openxmlformats.org/officeDocument/2006/relationships/hyperlink" Target="http://finance.yahoo.com/q/op?s=AAPL&amp;strike=145.00" TargetMode="External"/><Relationship Id="rId38" Type="http://schemas.openxmlformats.org/officeDocument/2006/relationships/hyperlink" Target="http://finance.yahoo.com/q?s=AAPL151218C00155000" TargetMode="External"/><Relationship Id="rId59" Type="http://schemas.openxmlformats.org/officeDocument/2006/relationships/hyperlink" Target="http://finance.yahoo.com/q/op?s=AAPL&amp;strike=70.00" TargetMode="External"/><Relationship Id="rId103" Type="http://schemas.openxmlformats.org/officeDocument/2006/relationships/hyperlink" Target="http://finance.yahoo.com/q/op?s=AAPL&amp;strike=180.00" TargetMode="External"/><Relationship Id="rId108" Type="http://schemas.openxmlformats.org/officeDocument/2006/relationships/hyperlink" Target="http://finance.yahoo.com/q?s=AAPL151218P00190000" TargetMode="External"/><Relationship Id="rId20" Type="http://schemas.openxmlformats.org/officeDocument/2006/relationships/hyperlink" Target="http://finance.yahoo.com/q?s=AAPL151218C00110000" TargetMode="External"/><Relationship Id="rId41" Type="http://schemas.openxmlformats.org/officeDocument/2006/relationships/hyperlink" Target="http://finance.yahoo.com/q/op?s=AAPL&amp;strike=165.00" TargetMode="External"/><Relationship Id="rId54" Type="http://schemas.openxmlformats.org/officeDocument/2006/relationships/hyperlink" Target="http://finance.yahoo.com/q?s=AAPL151218P00055000" TargetMode="External"/><Relationship Id="rId62" Type="http://schemas.openxmlformats.org/officeDocument/2006/relationships/hyperlink" Target="http://finance.yahoo.com/q?s=AAPL151218P00075000" TargetMode="External"/><Relationship Id="rId70" Type="http://schemas.openxmlformats.org/officeDocument/2006/relationships/hyperlink" Target="http://finance.yahoo.com/q?s=AAPL151218P00095000" TargetMode="External"/><Relationship Id="rId75" Type="http://schemas.openxmlformats.org/officeDocument/2006/relationships/hyperlink" Target="http://finance.yahoo.com/q/op?s=AAPL&amp;strike=110.00" TargetMode="External"/><Relationship Id="rId83" Type="http://schemas.openxmlformats.org/officeDocument/2006/relationships/hyperlink" Target="http://finance.yahoo.com/q/op?s=AAPL&amp;strike=130.00" TargetMode="External"/><Relationship Id="rId88" Type="http://schemas.openxmlformats.org/officeDocument/2006/relationships/hyperlink" Target="http://finance.yahoo.com/q?s=AAPL151218P00140000" TargetMode="External"/><Relationship Id="rId91" Type="http://schemas.openxmlformats.org/officeDocument/2006/relationships/hyperlink" Target="http://finance.yahoo.com/q/op?s=AAPL&amp;strike=150.00" TargetMode="External"/><Relationship Id="rId96" Type="http://schemas.openxmlformats.org/officeDocument/2006/relationships/hyperlink" Target="http://finance.yahoo.com/q?s=AAPL151218P00160000" TargetMode="External"/><Relationship Id="rId1" Type="http://schemas.openxmlformats.org/officeDocument/2006/relationships/hyperlink" Target="http://finance.yahoo.com/q/op?s=AAPL&amp;strike=55.00" TargetMode="External"/><Relationship Id="rId6" Type="http://schemas.openxmlformats.org/officeDocument/2006/relationships/hyperlink" Target="http://finance.yahoo.com/q?s=AAPL151218C00075000" TargetMode="External"/><Relationship Id="rId15" Type="http://schemas.openxmlformats.org/officeDocument/2006/relationships/hyperlink" Target="http://finance.yahoo.com/q/op?s=AAPL&amp;strike=100.00" TargetMode="External"/><Relationship Id="rId23" Type="http://schemas.openxmlformats.org/officeDocument/2006/relationships/hyperlink" Target="http://finance.yahoo.com/q/op?s=AAPL&amp;strike=120.00" TargetMode="External"/><Relationship Id="rId28" Type="http://schemas.openxmlformats.org/officeDocument/2006/relationships/hyperlink" Target="http://finance.yahoo.com/q?s=AAPL151218C00130000" TargetMode="External"/><Relationship Id="rId36" Type="http://schemas.openxmlformats.org/officeDocument/2006/relationships/hyperlink" Target="http://finance.yahoo.com/q?s=AAPL151218C00150000" TargetMode="External"/><Relationship Id="rId49" Type="http://schemas.openxmlformats.org/officeDocument/2006/relationships/hyperlink" Target="http://finance.yahoo.com/q/op?s=AAPL&amp;strike=185.00" TargetMode="External"/><Relationship Id="rId57" Type="http://schemas.openxmlformats.org/officeDocument/2006/relationships/hyperlink" Target="http://finance.yahoo.com/q/op?s=AAPL&amp;strike=65.00" TargetMode="External"/><Relationship Id="rId106" Type="http://schemas.openxmlformats.org/officeDocument/2006/relationships/hyperlink" Target="http://finance.yahoo.com/q?s=AAPL151218P00185000" TargetMode="External"/><Relationship Id="rId10" Type="http://schemas.openxmlformats.org/officeDocument/2006/relationships/hyperlink" Target="http://finance.yahoo.com/q?s=AAPL151218C00085000" TargetMode="External"/><Relationship Id="rId31" Type="http://schemas.openxmlformats.org/officeDocument/2006/relationships/hyperlink" Target="http://finance.yahoo.com/q/op?s=AAPL&amp;strike=140.00" TargetMode="External"/><Relationship Id="rId44" Type="http://schemas.openxmlformats.org/officeDocument/2006/relationships/hyperlink" Target="http://finance.yahoo.com/q?s=AAPL151218C00170000" TargetMode="External"/><Relationship Id="rId52" Type="http://schemas.openxmlformats.org/officeDocument/2006/relationships/hyperlink" Target="http://finance.yahoo.com/q?s=AAPL151218C00190000" TargetMode="External"/><Relationship Id="rId60" Type="http://schemas.openxmlformats.org/officeDocument/2006/relationships/hyperlink" Target="http://finance.yahoo.com/q?s=AAPL151218P00070000" TargetMode="External"/><Relationship Id="rId65" Type="http://schemas.openxmlformats.org/officeDocument/2006/relationships/hyperlink" Target="http://finance.yahoo.com/q/op?s=AAPL&amp;strike=85.00" TargetMode="External"/><Relationship Id="rId73" Type="http://schemas.openxmlformats.org/officeDocument/2006/relationships/hyperlink" Target="http://finance.yahoo.com/q/op?s=AAPL&amp;strike=105.00" TargetMode="External"/><Relationship Id="rId78" Type="http://schemas.openxmlformats.org/officeDocument/2006/relationships/hyperlink" Target="http://finance.yahoo.com/q?s=AAPL151218P00115000" TargetMode="External"/><Relationship Id="rId81" Type="http://schemas.openxmlformats.org/officeDocument/2006/relationships/hyperlink" Target="http://finance.yahoo.com/q/op?s=AAPL&amp;strike=125.00" TargetMode="External"/><Relationship Id="rId86" Type="http://schemas.openxmlformats.org/officeDocument/2006/relationships/hyperlink" Target="http://finance.yahoo.com/q?s=AAPL151218P00135000" TargetMode="External"/><Relationship Id="rId94" Type="http://schemas.openxmlformats.org/officeDocument/2006/relationships/hyperlink" Target="http://finance.yahoo.com/q?s=AAPL151218P00155000" TargetMode="External"/><Relationship Id="rId99" Type="http://schemas.openxmlformats.org/officeDocument/2006/relationships/hyperlink" Target="http://finance.yahoo.com/q/op?s=AAPL&amp;strike=170.00" TargetMode="External"/><Relationship Id="rId101" Type="http://schemas.openxmlformats.org/officeDocument/2006/relationships/hyperlink" Target="http://finance.yahoo.com/q/op?s=AAPL&amp;strike=175.00" TargetMode="External"/><Relationship Id="rId4" Type="http://schemas.openxmlformats.org/officeDocument/2006/relationships/hyperlink" Target="http://finance.yahoo.com/q?s=AAPL151218C00070000" TargetMode="External"/><Relationship Id="rId9" Type="http://schemas.openxmlformats.org/officeDocument/2006/relationships/hyperlink" Target="http://finance.yahoo.com/q/op?s=AAPL&amp;strike=85.00" TargetMode="External"/><Relationship Id="rId13" Type="http://schemas.openxmlformats.org/officeDocument/2006/relationships/hyperlink" Target="http://finance.yahoo.com/q/op?s=AAPL&amp;strike=95.00" TargetMode="External"/><Relationship Id="rId18" Type="http://schemas.openxmlformats.org/officeDocument/2006/relationships/hyperlink" Target="http://finance.yahoo.com/q?s=AAPL151218C00105000" TargetMode="External"/><Relationship Id="rId39" Type="http://schemas.openxmlformats.org/officeDocument/2006/relationships/hyperlink" Target="http://finance.yahoo.com/q/op?s=AAPL&amp;strike=160.00" TargetMode="External"/><Relationship Id="rId34" Type="http://schemas.openxmlformats.org/officeDocument/2006/relationships/hyperlink" Target="http://finance.yahoo.com/q?s=AAPL151218C00145000" TargetMode="External"/><Relationship Id="rId50" Type="http://schemas.openxmlformats.org/officeDocument/2006/relationships/hyperlink" Target="http://finance.yahoo.com/q?s=AAPL151218C00185000" TargetMode="External"/><Relationship Id="rId55" Type="http://schemas.openxmlformats.org/officeDocument/2006/relationships/hyperlink" Target="http://finance.yahoo.com/q/op?s=AAPL&amp;strike=60.00" TargetMode="External"/><Relationship Id="rId76" Type="http://schemas.openxmlformats.org/officeDocument/2006/relationships/hyperlink" Target="http://finance.yahoo.com/q?s=AAPL151218P00110000" TargetMode="External"/><Relationship Id="rId97" Type="http://schemas.openxmlformats.org/officeDocument/2006/relationships/hyperlink" Target="http://finance.yahoo.com/q/op?s=AAPL&amp;strike=165.00" TargetMode="External"/><Relationship Id="rId104" Type="http://schemas.openxmlformats.org/officeDocument/2006/relationships/hyperlink" Target="http://finance.yahoo.com/q?s=AAPL151218P00180000" TargetMode="External"/><Relationship Id="rId7" Type="http://schemas.openxmlformats.org/officeDocument/2006/relationships/hyperlink" Target="http://finance.yahoo.com/q/op?s=AAPL&amp;strike=80.00" TargetMode="External"/><Relationship Id="rId71" Type="http://schemas.openxmlformats.org/officeDocument/2006/relationships/hyperlink" Target="http://finance.yahoo.com/q/op?s=AAPL&amp;strike=100.00" TargetMode="External"/><Relationship Id="rId92" Type="http://schemas.openxmlformats.org/officeDocument/2006/relationships/hyperlink" Target="http://finance.yahoo.com/q?s=AAPL151218P00150000" TargetMode="External"/><Relationship Id="rId2" Type="http://schemas.openxmlformats.org/officeDocument/2006/relationships/hyperlink" Target="http://finance.yahoo.com/q?s=AAPL151218C00055000" TargetMode="External"/><Relationship Id="rId29" Type="http://schemas.openxmlformats.org/officeDocument/2006/relationships/hyperlink" Target="http://finance.yahoo.com/q/op?s=AAPL&amp;strike=135.00" TargetMode="External"/><Relationship Id="rId24" Type="http://schemas.openxmlformats.org/officeDocument/2006/relationships/hyperlink" Target="http://finance.yahoo.com/q?s=AAPL151218C00120000" TargetMode="External"/><Relationship Id="rId40" Type="http://schemas.openxmlformats.org/officeDocument/2006/relationships/hyperlink" Target="http://finance.yahoo.com/q?s=AAPL151218C00160000" TargetMode="External"/><Relationship Id="rId45" Type="http://schemas.openxmlformats.org/officeDocument/2006/relationships/hyperlink" Target="http://finance.yahoo.com/q/op?s=AAPL&amp;strike=175.00" TargetMode="External"/><Relationship Id="rId66" Type="http://schemas.openxmlformats.org/officeDocument/2006/relationships/hyperlink" Target="http://finance.yahoo.com/q?s=AAPL151218P00085000" TargetMode="External"/><Relationship Id="rId87" Type="http://schemas.openxmlformats.org/officeDocument/2006/relationships/hyperlink" Target="http://finance.yahoo.com/q/op?s=AAPL&amp;strike=140.00" TargetMode="External"/><Relationship Id="rId61" Type="http://schemas.openxmlformats.org/officeDocument/2006/relationships/hyperlink" Target="http://finance.yahoo.com/q/op?s=AAPL&amp;strike=75.00" TargetMode="External"/><Relationship Id="rId82" Type="http://schemas.openxmlformats.org/officeDocument/2006/relationships/hyperlink" Target="http://finance.yahoo.com/q?s=AAPL151218P00125000" TargetMode="External"/><Relationship Id="rId19" Type="http://schemas.openxmlformats.org/officeDocument/2006/relationships/hyperlink" Target="http://finance.yahoo.com/q/op?s=AAPL&amp;strike=110.00" TargetMode="External"/><Relationship Id="rId14" Type="http://schemas.openxmlformats.org/officeDocument/2006/relationships/hyperlink" Target="http://finance.yahoo.com/q?s=AAPL151218C00095000" TargetMode="External"/><Relationship Id="rId30" Type="http://schemas.openxmlformats.org/officeDocument/2006/relationships/hyperlink" Target="http://finance.yahoo.com/q?s=AAPL151218C00135000" TargetMode="External"/><Relationship Id="rId35" Type="http://schemas.openxmlformats.org/officeDocument/2006/relationships/hyperlink" Target="http://finance.yahoo.com/q/op?s=AAPL&amp;strike=150.00" TargetMode="External"/><Relationship Id="rId56" Type="http://schemas.openxmlformats.org/officeDocument/2006/relationships/hyperlink" Target="http://finance.yahoo.com/q?s=AAPL151218P00060000" TargetMode="External"/><Relationship Id="rId77" Type="http://schemas.openxmlformats.org/officeDocument/2006/relationships/hyperlink" Target="http://finance.yahoo.com/q/op?s=AAPL&amp;strike=115.00" TargetMode="External"/><Relationship Id="rId100" Type="http://schemas.openxmlformats.org/officeDocument/2006/relationships/hyperlink" Target="http://finance.yahoo.com/q?s=AAPL151218P00170000" TargetMode="External"/><Relationship Id="rId105" Type="http://schemas.openxmlformats.org/officeDocument/2006/relationships/hyperlink" Target="http://finance.yahoo.com/q/op?s=AAPL&amp;strike=185.00" TargetMode="External"/><Relationship Id="rId8" Type="http://schemas.openxmlformats.org/officeDocument/2006/relationships/hyperlink" Target="http://finance.yahoo.com/q?s=AAPL151218C00080000" TargetMode="External"/><Relationship Id="rId51" Type="http://schemas.openxmlformats.org/officeDocument/2006/relationships/hyperlink" Target="http://finance.yahoo.com/q/op?s=AAPL&amp;strike=190.00" TargetMode="External"/><Relationship Id="rId72" Type="http://schemas.openxmlformats.org/officeDocument/2006/relationships/hyperlink" Target="http://finance.yahoo.com/q?s=AAPL151218P00100000" TargetMode="External"/><Relationship Id="rId93" Type="http://schemas.openxmlformats.org/officeDocument/2006/relationships/hyperlink" Target="http://finance.yahoo.com/q/op?s=AAPL&amp;strike=155.00" TargetMode="External"/><Relationship Id="rId98" Type="http://schemas.openxmlformats.org/officeDocument/2006/relationships/hyperlink" Target="http://finance.yahoo.com/q?s=AAPL151218P00165000" TargetMode="External"/><Relationship Id="rId3" Type="http://schemas.openxmlformats.org/officeDocument/2006/relationships/hyperlink" Target="http://finance.yahoo.com/q/op?s=AAPL&amp;strike=70.00" TargetMode="External"/><Relationship Id="rId25" Type="http://schemas.openxmlformats.org/officeDocument/2006/relationships/hyperlink" Target="http://finance.yahoo.com/q/op?s=AAPL&amp;strike=125.00" TargetMode="External"/><Relationship Id="rId46" Type="http://schemas.openxmlformats.org/officeDocument/2006/relationships/hyperlink" Target="http://finance.yahoo.com/q?s=AAPL151218C00175000" TargetMode="External"/><Relationship Id="rId67" Type="http://schemas.openxmlformats.org/officeDocument/2006/relationships/hyperlink" Target="http://finance.yahoo.com/q/op?s=AAPL&amp;strike=90.00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AAPL160219C00135000" TargetMode="External"/><Relationship Id="rId21" Type="http://schemas.openxmlformats.org/officeDocument/2006/relationships/hyperlink" Target="http://finance.yahoo.com/q/op?s=AAPL&amp;strike=125.00" TargetMode="External"/><Relationship Id="rId34" Type="http://schemas.openxmlformats.org/officeDocument/2006/relationships/hyperlink" Target="http://finance.yahoo.com/q?s=AAPL160219P00060000" TargetMode="External"/><Relationship Id="rId42" Type="http://schemas.openxmlformats.org/officeDocument/2006/relationships/hyperlink" Target="http://finance.yahoo.com/q?s=AAPL160219P00080000" TargetMode="External"/><Relationship Id="rId47" Type="http://schemas.openxmlformats.org/officeDocument/2006/relationships/hyperlink" Target="http://finance.yahoo.com/q/op?s=AAPL&amp;strike=95.00" TargetMode="External"/><Relationship Id="rId50" Type="http://schemas.openxmlformats.org/officeDocument/2006/relationships/hyperlink" Target="http://finance.yahoo.com/q?s=AAPL160219P00100000" TargetMode="External"/><Relationship Id="rId55" Type="http://schemas.openxmlformats.org/officeDocument/2006/relationships/hyperlink" Target="http://finance.yahoo.com/q/op?s=AAPL&amp;strike=115.00" TargetMode="External"/><Relationship Id="rId63" Type="http://schemas.openxmlformats.org/officeDocument/2006/relationships/hyperlink" Target="http://finance.yahoo.com/q/op?s=AAPL&amp;strike=135.00" TargetMode="External"/><Relationship Id="rId68" Type="http://schemas.openxmlformats.org/officeDocument/2006/relationships/hyperlink" Target="http://finance.yahoo.com/q?s=AAPL160219P00160000" TargetMode="External"/><Relationship Id="rId7" Type="http://schemas.openxmlformats.org/officeDocument/2006/relationships/hyperlink" Target="http://finance.yahoo.com/q/op?s=AAPL&amp;strike=90.00" TargetMode="External"/><Relationship Id="rId2" Type="http://schemas.openxmlformats.org/officeDocument/2006/relationships/hyperlink" Target="http://finance.yahoo.com/q?s=AAPL160219C00070000" TargetMode="External"/><Relationship Id="rId16" Type="http://schemas.openxmlformats.org/officeDocument/2006/relationships/hyperlink" Target="http://finance.yahoo.com/q?s=AAPL160219C00110000" TargetMode="External"/><Relationship Id="rId29" Type="http://schemas.openxmlformats.org/officeDocument/2006/relationships/hyperlink" Target="http://finance.yahoo.com/q/op?s=AAPL&amp;strike=145.00" TargetMode="External"/><Relationship Id="rId11" Type="http://schemas.openxmlformats.org/officeDocument/2006/relationships/hyperlink" Target="http://finance.yahoo.com/q/op?s=AAPL&amp;strike=100.00" TargetMode="External"/><Relationship Id="rId24" Type="http://schemas.openxmlformats.org/officeDocument/2006/relationships/hyperlink" Target="http://finance.yahoo.com/q?s=AAPL160219C00130000" TargetMode="External"/><Relationship Id="rId32" Type="http://schemas.openxmlformats.org/officeDocument/2006/relationships/hyperlink" Target="http://finance.yahoo.com/q?s=AAPL160219C00150000" TargetMode="External"/><Relationship Id="rId37" Type="http://schemas.openxmlformats.org/officeDocument/2006/relationships/hyperlink" Target="http://finance.yahoo.com/q/op?s=AAPL&amp;strike=70.00" TargetMode="External"/><Relationship Id="rId40" Type="http://schemas.openxmlformats.org/officeDocument/2006/relationships/hyperlink" Target="http://finance.yahoo.com/q?s=AAPL160219P00075000" TargetMode="External"/><Relationship Id="rId45" Type="http://schemas.openxmlformats.org/officeDocument/2006/relationships/hyperlink" Target="http://finance.yahoo.com/q/op?s=AAPL&amp;strike=90.00" TargetMode="External"/><Relationship Id="rId53" Type="http://schemas.openxmlformats.org/officeDocument/2006/relationships/hyperlink" Target="http://finance.yahoo.com/q/op?s=AAPL&amp;strike=110.00" TargetMode="External"/><Relationship Id="rId58" Type="http://schemas.openxmlformats.org/officeDocument/2006/relationships/hyperlink" Target="http://finance.yahoo.com/q?s=AAPL160219P00120000" TargetMode="External"/><Relationship Id="rId66" Type="http://schemas.openxmlformats.org/officeDocument/2006/relationships/hyperlink" Target="http://finance.yahoo.com/q?s=AAPL160219P00155000" TargetMode="External"/><Relationship Id="rId5" Type="http://schemas.openxmlformats.org/officeDocument/2006/relationships/hyperlink" Target="http://finance.yahoo.com/q/op?s=AAPL&amp;strike=80.00" TargetMode="External"/><Relationship Id="rId61" Type="http://schemas.openxmlformats.org/officeDocument/2006/relationships/hyperlink" Target="http://finance.yahoo.com/q/op?s=AAPL&amp;strike=130.00" TargetMode="External"/><Relationship Id="rId19" Type="http://schemas.openxmlformats.org/officeDocument/2006/relationships/hyperlink" Target="http://finance.yahoo.com/q/op?s=AAPL&amp;strike=120.00" TargetMode="External"/><Relationship Id="rId14" Type="http://schemas.openxmlformats.org/officeDocument/2006/relationships/hyperlink" Target="http://finance.yahoo.com/q?s=AAPL160219C00105000" TargetMode="External"/><Relationship Id="rId22" Type="http://schemas.openxmlformats.org/officeDocument/2006/relationships/hyperlink" Target="http://finance.yahoo.com/q?s=AAPL160219C00125000" TargetMode="External"/><Relationship Id="rId27" Type="http://schemas.openxmlformats.org/officeDocument/2006/relationships/hyperlink" Target="http://finance.yahoo.com/q/op?s=AAPL&amp;strike=140.00" TargetMode="External"/><Relationship Id="rId30" Type="http://schemas.openxmlformats.org/officeDocument/2006/relationships/hyperlink" Target="http://finance.yahoo.com/q?s=AAPL160219C00145000" TargetMode="External"/><Relationship Id="rId35" Type="http://schemas.openxmlformats.org/officeDocument/2006/relationships/hyperlink" Target="http://finance.yahoo.com/q/op?s=AAPL&amp;strike=65.00" TargetMode="External"/><Relationship Id="rId43" Type="http://schemas.openxmlformats.org/officeDocument/2006/relationships/hyperlink" Target="http://finance.yahoo.com/q/op?s=AAPL&amp;strike=85.00" TargetMode="External"/><Relationship Id="rId48" Type="http://schemas.openxmlformats.org/officeDocument/2006/relationships/hyperlink" Target="http://finance.yahoo.com/q?s=AAPL160219P00095000" TargetMode="External"/><Relationship Id="rId56" Type="http://schemas.openxmlformats.org/officeDocument/2006/relationships/hyperlink" Target="http://finance.yahoo.com/q?s=AAPL160219P00115000" TargetMode="External"/><Relationship Id="rId64" Type="http://schemas.openxmlformats.org/officeDocument/2006/relationships/hyperlink" Target="http://finance.yahoo.com/q?s=AAPL160219P00135000" TargetMode="External"/><Relationship Id="rId8" Type="http://schemas.openxmlformats.org/officeDocument/2006/relationships/hyperlink" Target="http://finance.yahoo.com/q?s=AAPL160219C00090000" TargetMode="External"/><Relationship Id="rId51" Type="http://schemas.openxmlformats.org/officeDocument/2006/relationships/hyperlink" Target="http://finance.yahoo.com/q/op?s=AAPL&amp;strike=105.00" TargetMode="External"/><Relationship Id="rId3" Type="http://schemas.openxmlformats.org/officeDocument/2006/relationships/hyperlink" Target="http://finance.yahoo.com/q/op?s=AAPL&amp;strike=75.00" TargetMode="External"/><Relationship Id="rId12" Type="http://schemas.openxmlformats.org/officeDocument/2006/relationships/hyperlink" Target="http://finance.yahoo.com/q?s=AAPL160219C00100000" TargetMode="External"/><Relationship Id="rId17" Type="http://schemas.openxmlformats.org/officeDocument/2006/relationships/hyperlink" Target="http://finance.yahoo.com/q/op?s=AAPL&amp;strike=115.00" TargetMode="External"/><Relationship Id="rId25" Type="http://schemas.openxmlformats.org/officeDocument/2006/relationships/hyperlink" Target="http://finance.yahoo.com/q/op?s=AAPL&amp;strike=135.00" TargetMode="External"/><Relationship Id="rId33" Type="http://schemas.openxmlformats.org/officeDocument/2006/relationships/hyperlink" Target="http://finance.yahoo.com/q/op?s=AAPL&amp;strike=60.00" TargetMode="External"/><Relationship Id="rId38" Type="http://schemas.openxmlformats.org/officeDocument/2006/relationships/hyperlink" Target="http://finance.yahoo.com/q?s=AAPL160219P00070000" TargetMode="External"/><Relationship Id="rId46" Type="http://schemas.openxmlformats.org/officeDocument/2006/relationships/hyperlink" Target="http://finance.yahoo.com/q?s=AAPL160219P00090000" TargetMode="External"/><Relationship Id="rId59" Type="http://schemas.openxmlformats.org/officeDocument/2006/relationships/hyperlink" Target="http://finance.yahoo.com/q/op?s=AAPL&amp;strike=125.00" TargetMode="External"/><Relationship Id="rId67" Type="http://schemas.openxmlformats.org/officeDocument/2006/relationships/hyperlink" Target="http://finance.yahoo.com/q/op?s=AAPL&amp;strike=160.00" TargetMode="External"/><Relationship Id="rId20" Type="http://schemas.openxmlformats.org/officeDocument/2006/relationships/hyperlink" Target="http://finance.yahoo.com/q?s=AAPL160219C00120000" TargetMode="External"/><Relationship Id="rId41" Type="http://schemas.openxmlformats.org/officeDocument/2006/relationships/hyperlink" Target="http://finance.yahoo.com/q/op?s=AAPL&amp;strike=80.00" TargetMode="External"/><Relationship Id="rId54" Type="http://schemas.openxmlformats.org/officeDocument/2006/relationships/hyperlink" Target="http://finance.yahoo.com/q?s=AAPL160219P00110000" TargetMode="External"/><Relationship Id="rId62" Type="http://schemas.openxmlformats.org/officeDocument/2006/relationships/hyperlink" Target="http://finance.yahoo.com/q?s=AAPL160219P00130000" TargetMode="External"/><Relationship Id="rId1" Type="http://schemas.openxmlformats.org/officeDocument/2006/relationships/hyperlink" Target="http://finance.yahoo.com/q/op?s=AAPL&amp;strike=70.00" TargetMode="External"/><Relationship Id="rId6" Type="http://schemas.openxmlformats.org/officeDocument/2006/relationships/hyperlink" Target="http://finance.yahoo.com/q?s=AAPL160219C00080000" TargetMode="External"/><Relationship Id="rId15" Type="http://schemas.openxmlformats.org/officeDocument/2006/relationships/hyperlink" Target="http://finance.yahoo.com/q/op?s=AAPL&amp;strike=110.00" TargetMode="External"/><Relationship Id="rId23" Type="http://schemas.openxmlformats.org/officeDocument/2006/relationships/hyperlink" Target="http://finance.yahoo.com/q/op?s=AAPL&amp;strike=130.00" TargetMode="External"/><Relationship Id="rId28" Type="http://schemas.openxmlformats.org/officeDocument/2006/relationships/hyperlink" Target="http://finance.yahoo.com/q?s=AAPL160219C00140000" TargetMode="External"/><Relationship Id="rId36" Type="http://schemas.openxmlformats.org/officeDocument/2006/relationships/hyperlink" Target="http://finance.yahoo.com/q?s=AAPL160219P00065000" TargetMode="External"/><Relationship Id="rId49" Type="http://schemas.openxmlformats.org/officeDocument/2006/relationships/hyperlink" Target="http://finance.yahoo.com/q/op?s=AAPL&amp;strike=100.00" TargetMode="External"/><Relationship Id="rId57" Type="http://schemas.openxmlformats.org/officeDocument/2006/relationships/hyperlink" Target="http://finance.yahoo.com/q/op?s=AAPL&amp;strike=120.00" TargetMode="External"/><Relationship Id="rId10" Type="http://schemas.openxmlformats.org/officeDocument/2006/relationships/hyperlink" Target="http://finance.yahoo.com/q?s=AAPL160219C00095000" TargetMode="External"/><Relationship Id="rId31" Type="http://schemas.openxmlformats.org/officeDocument/2006/relationships/hyperlink" Target="http://finance.yahoo.com/q/op?s=AAPL&amp;strike=150.00" TargetMode="External"/><Relationship Id="rId44" Type="http://schemas.openxmlformats.org/officeDocument/2006/relationships/hyperlink" Target="http://finance.yahoo.com/q?s=AAPL160219P00085000" TargetMode="External"/><Relationship Id="rId52" Type="http://schemas.openxmlformats.org/officeDocument/2006/relationships/hyperlink" Target="http://finance.yahoo.com/q?s=AAPL160219P00105000" TargetMode="External"/><Relationship Id="rId60" Type="http://schemas.openxmlformats.org/officeDocument/2006/relationships/hyperlink" Target="http://finance.yahoo.com/q?s=AAPL160219P00125000" TargetMode="External"/><Relationship Id="rId65" Type="http://schemas.openxmlformats.org/officeDocument/2006/relationships/hyperlink" Target="http://finance.yahoo.com/q/op?s=AAPL&amp;strike=155.00" TargetMode="External"/><Relationship Id="rId4" Type="http://schemas.openxmlformats.org/officeDocument/2006/relationships/hyperlink" Target="http://finance.yahoo.com/q?s=AAPL160219C00075000" TargetMode="External"/><Relationship Id="rId9" Type="http://schemas.openxmlformats.org/officeDocument/2006/relationships/hyperlink" Target="http://finance.yahoo.com/q/op?s=AAPL&amp;strike=95.00" TargetMode="External"/><Relationship Id="rId13" Type="http://schemas.openxmlformats.org/officeDocument/2006/relationships/hyperlink" Target="http://finance.yahoo.com/q/op?s=AAPL&amp;strike=105.00" TargetMode="External"/><Relationship Id="rId18" Type="http://schemas.openxmlformats.org/officeDocument/2006/relationships/hyperlink" Target="http://finance.yahoo.com/q?s=AAPL160219C00115000" TargetMode="External"/><Relationship Id="rId39" Type="http://schemas.openxmlformats.org/officeDocument/2006/relationships/hyperlink" Target="http://finance.yahoo.com/q/op?s=AAPL&amp;strike=75.00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AAPL160415C00115000" TargetMode="External"/><Relationship Id="rId21" Type="http://schemas.openxmlformats.org/officeDocument/2006/relationships/hyperlink" Target="http://finance.yahoo.com/q/op?s=AAPL&amp;strike=105.00" TargetMode="External"/><Relationship Id="rId42" Type="http://schemas.openxmlformats.org/officeDocument/2006/relationships/hyperlink" Target="http://finance.yahoo.com/q?s=AAPL160415C00155000" TargetMode="External"/><Relationship Id="rId47" Type="http://schemas.openxmlformats.org/officeDocument/2006/relationships/hyperlink" Target="http://finance.yahoo.com/q/op?s=AAPL&amp;strike=170.00" TargetMode="External"/><Relationship Id="rId63" Type="http://schemas.openxmlformats.org/officeDocument/2006/relationships/hyperlink" Target="http://finance.yahoo.com/q/op?s=AAPL&amp;strike=65.00" TargetMode="External"/><Relationship Id="rId68" Type="http://schemas.openxmlformats.org/officeDocument/2006/relationships/hyperlink" Target="http://finance.yahoo.com/q?s=AAPL160415P00075000" TargetMode="External"/><Relationship Id="rId84" Type="http://schemas.openxmlformats.org/officeDocument/2006/relationships/hyperlink" Target="http://finance.yahoo.com/q?s=AAPL160415P00115000" TargetMode="External"/><Relationship Id="rId89" Type="http://schemas.openxmlformats.org/officeDocument/2006/relationships/hyperlink" Target="http://finance.yahoo.com/q/op?s=AAPL&amp;strike=130.00" TargetMode="External"/><Relationship Id="rId112" Type="http://schemas.openxmlformats.org/officeDocument/2006/relationships/hyperlink" Target="http://finance.yahoo.com/q?s=AAPL160415P00185000" TargetMode="External"/><Relationship Id="rId16" Type="http://schemas.openxmlformats.org/officeDocument/2006/relationships/hyperlink" Target="http://finance.yahoo.com/q?s=AAPL160415C00090000" TargetMode="External"/><Relationship Id="rId107" Type="http://schemas.openxmlformats.org/officeDocument/2006/relationships/hyperlink" Target="http://finance.yahoo.com/q/op?s=AAPL&amp;strike=175.00" TargetMode="External"/><Relationship Id="rId11" Type="http://schemas.openxmlformats.org/officeDocument/2006/relationships/hyperlink" Target="http://finance.yahoo.com/q/op?s=AAPL&amp;strike=80.00" TargetMode="External"/><Relationship Id="rId32" Type="http://schemas.openxmlformats.org/officeDocument/2006/relationships/hyperlink" Target="http://finance.yahoo.com/q?s=AAPL160415C00130000" TargetMode="External"/><Relationship Id="rId37" Type="http://schemas.openxmlformats.org/officeDocument/2006/relationships/hyperlink" Target="http://finance.yahoo.com/q/op?s=AAPL&amp;strike=145.00" TargetMode="External"/><Relationship Id="rId53" Type="http://schemas.openxmlformats.org/officeDocument/2006/relationships/hyperlink" Target="http://finance.yahoo.com/q/op?s=AAPL&amp;strike=185.00" TargetMode="External"/><Relationship Id="rId58" Type="http://schemas.openxmlformats.org/officeDocument/2006/relationships/hyperlink" Target="http://finance.yahoo.com/q?s=AAPL160415C00195000" TargetMode="External"/><Relationship Id="rId74" Type="http://schemas.openxmlformats.org/officeDocument/2006/relationships/hyperlink" Target="http://finance.yahoo.com/q?s=AAPL160415P00090000" TargetMode="External"/><Relationship Id="rId79" Type="http://schemas.openxmlformats.org/officeDocument/2006/relationships/hyperlink" Target="http://finance.yahoo.com/q/op?s=AAPL&amp;strike=105.00" TargetMode="External"/><Relationship Id="rId102" Type="http://schemas.openxmlformats.org/officeDocument/2006/relationships/hyperlink" Target="http://finance.yahoo.com/q?s=AAPL160415P00160000" TargetMode="External"/><Relationship Id="rId5" Type="http://schemas.openxmlformats.org/officeDocument/2006/relationships/hyperlink" Target="http://finance.yahoo.com/q/op?s=AAPL&amp;strike=65.00" TargetMode="External"/><Relationship Id="rId90" Type="http://schemas.openxmlformats.org/officeDocument/2006/relationships/hyperlink" Target="http://finance.yahoo.com/q?s=AAPL160415P00130000" TargetMode="External"/><Relationship Id="rId95" Type="http://schemas.openxmlformats.org/officeDocument/2006/relationships/hyperlink" Target="http://finance.yahoo.com/q/op?s=AAPL&amp;strike=145.00" TargetMode="External"/><Relationship Id="rId22" Type="http://schemas.openxmlformats.org/officeDocument/2006/relationships/hyperlink" Target="http://finance.yahoo.com/q?s=AAPL160415C00105000" TargetMode="External"/><Relationship Id="rId27" Type="http://schemas.openxmlformats.org/officeDocument/2006/relationships/hyperlink" Target="http://finance.yahoo.com/q/op?s=AAPL&amp;strike=120.00" TargetMode="External"/><Relationship Id="rId43" Type="http://schemas.openxmlformats.org/officeDocument/2006/relationships/hyperlink" Target="http://finance.yahoo.com/q/op?s=AAPL&amp;strike=160.00" TargetMode="External"/><Relationship Id="rId48" Type="http://schemas.openxmlformats.org/officeDocument/2006/relationships/hyperlink" Target="http://finance.yahoo.com/q?s=AAPL160415C00170000" TargetMode="External"/><Relationship Id="rId64" Type="http://schemas.openxmlformats.org/officeDocument/2006/relationships/hyperlink" Target="http://finance.yahoo.com/q?s=AAPL160415P00065000" TargetMode="External"/><Relationship Id="rId69" Type="http://schemas.openxmlformats.org/officeDocument/2006/relationships/hyperlink" Target="http://finance.yahoo.com/q/op?s=AAPL&amp;strike=80.00" TargetMode="External"/><Relationship Id="rId113" Type="http://schemas.openxmlformats.org/officeDocument/2006/relationships/hyperlink" Target="http://finance.yahoo.com/q/op?s=AAPL&amp;strike=190.00" TargetMode="External"/><Relationship Id="rId80" Type="http://schemas.openxmlformats.org/officeDocument/2006/relationships/hyperlink" Target="http://finance.yahoo.com/q?s=AAPL160415P00105000" TargetMode="External"/><Relationship Id="rId85" Type="http://schemas.openxmlformats.org/officeDocument/2006/relationships/hyperlink" Target="http://finance.yahoo.com/q/op?s=AAPL&amp;strike=120.00" TargetMode="External"/><Relationship Id="rId12" Type="http://schemas.openxmlformats.org/officeDocument/2006/relationships/hyperlink" Target="http://finance.yahoo.com/q?s=AAPL160415C00080000" TargetMode="External"/><Relationship Id="rId17" Type="http://schemas.openxmlformats.org/officeDocument/2006/relationships/hyperlink" Target="http://finance.yahoo.com/q/op?s=AAPL&amp;strike=95.00" TargetMode="External"/><Relationship Id="rId33" Type="http://schemas.openxmlformats.org/officeDocument/2006/relationships/hyperlink" Target="http://finance.yahoo.com/q/op?s=AAPL&amp;strike=135.00" TargetMode="External"/><Relationship Id="rId38" Type="http://schemas.openxmlformats.org/officeDocument/2006/relationships/hyperlink" Target="http://finance.yahoo.com/q?s=AAPL160415C00145000" TargetMode="External"/><Relationship Id="rId59" Type="http://schemas.openxmlformats.org/officeDocument/2006/relationships/hyperlink" Target="http://finance.yahoo.com/q/op?s=AAPL&amp;strike=55.00" TargetMode="External"/><Relationship Id="rId103" Type="http://schemas.openxmlformats.org/officeDocument/2006/relationships/hyperlink" Target="http://finance.yahoo.com/q/op?s=AAPL&amp;strike=165.00" TargetMode="External"/><Relationship Id="rId108" Type="http://schemas.openxmlformats.org/officeDocument/2006/relationships/hyperlink" Target="http://finance.yahoo.com/q?s=AAPL160415P00175000" TargetMode="External"/><Relationship Id="rId54" Type="http://schemas.openxmlformats.org/officeDocument/2006/relationships/hyperlink" Target="http://finance.yahoo.com/q?s=AAPL160415C00185000" TargetMode="External"/><Relationship Id="rId70" Type="http://schemas.openxmlformats.org/officeDocument/2006/relationships/hyperlink" Target="http://finance.yahoo.com/q?s=AAPL160415P00080000" TargetMode="External"/><Relationship Id="rId75" Type="http://schemas.openxmlformats.org/officeDocument/2006/relationships/hyperlink" Target="http://finance.yahoo.com/q/op?s=AAPL&amp;strike=95.00" TargetMode="External"/><Relationship Id="rId91" Type="http://schemas.openxmlformats.org/officeDocument/2006/relationships/hyperlink" Target="http://finance.yahoo.com/q/op?s=AAPL&amp;strike=135.00" TargetMode="External"/><Relationship Id="rId96" Type="http://schemas.openxmlformats.org/officeDocument/2006/relationships/hyperlink" Target="http://finance.yahoo.com/q?s=AAPL160415P00145000" TargetMode="External"/><Relationship Id="rId1" Type="http://schemas.openxmlformats.org/officeDocument/2006/relationships/hyperlink" Target="http://finance.yahoo.com/q/op?s=AAPL&amp;strike=55.00" TargetMode="External"/><Relationship Id="rId6" Type="http://schemas.openxmlformats.org/officeDocument/2006/relationships/hyperlink" Target="http://finance.yahoo.com/q?s=AAPL160415C00065000" TargetMode="External"/><Relationship Id="rId15" Type="http://schemas.openxmlformats.org/officeDocument/2006/relationships/hyperlink" Target="http://finance.yahoo.com/q/op?s=AAPL&amp;strike=90.00" TargetMode="External"/><Relationship Id="rId23" Type="http://schemas.openxmlformats.org/officeDocument/2006/relationships/hyperlink" Target="http://finance.yahoo.com/q/op?s=AAPL&amp;strike=110.00" TargetMode="External"/><Relationship Id="rId28" Type="http://schemas.openxmlformats.org/officeDocument/2006/relationships/hyperlink" Target="http://finance.yahoo.com/q?s=AAPL160415C00120000" TargetMode="External"/><Relationship Id="rId36" Type="http://schemas.openxmlformats.org/officeDocument/2006/relationships/hyperlink" Target="http://finance.yahoo.com/q?s=AAPL160415C00140000" TargetMode="External"/><Relationship Id="rId49" Type="http://schemas.openxmlformats.org/officeDocument/2006/relationships/hyperlink" Target="http://finance.yahoo.com/q/op?s=AAPL&amp;strike=175.00" TargetMode="External"/><Relationship Id="rId57" Type="http://schemas.openxmlformats.org/officeDocument/2006/relationships/hyperlink" Target="http://finance.yahoo.com/q/op?s=AAPL&amp;strike=195.00" TargetMode="External"/><Relationship Id="rId106" Type="http://schemas.openxmlformats.org/officeDocument/2006/relationships/hyperlink" Target="http://finance.yahoo.com/q?s=AAPL160415P00170000" TargetMode="External"/><Relationship Id="rId114" Type="http://schemas.openxmlformats.org/officeDocument/2006/relationships/hyperlink" Target="http://finance.yahoo.com/q?s=AAPL160415P00190000" TargetMode="External"/><Relationship Id="rId10" Type="http://schemas.openxmlformats.org/officeDocument/2006/relationships/hyperlink" Target="http://finance.yahoo.com/q?s=AAPL160415C00075000" TargetMode="External"/><Relationship Id="rId31" Type="http://schemas.openxmlformats.org/officeDocument/2006/relationships/hyperlink" Target="http://finance.yahoo.com/q/op?s=AAPL&amp;strike=130.00" TargetMode="External"/><Relationship Id="rId44" Type="http://schemas.openxmlformats.org/officeDocument/2006/relationships/hyperlink" Target="http://finance.yahoo.com/q?s=AAPL160415C00160000" TargetMode="External"/><Relationship Id="rId52" Type="http://schemas.openxmlformats.org/officeDocument/2006/relationships/hyperlink" Target="http://finance.yahoo.com/q?s=AAPL160415C00180000" TargetMode="External"/><Relationship Id="rId60" Type="http://schemas.openxmlformats.org/officeDocument/2006/relationships/hyperlink" Target="http://finance.yahoo.com/q?s=AAPL160415P00055000" TargetMode="External"/><Relationship Id="rId65" Type="http://schemas.openxmlformats.org/officeDocument/2006/relationships/hyperlink" Target="http://finance.yahoo.com/q/op?s=AAPL&amp;strike=70.00" TargetMode="External"/><Relationship Id="rId73" Type="http://schemas.openxmlformats.org/officeDocument/2006/relationships/hyperlink" Target="http://finance.yahoo.com/q/op?s=AAPL&amp;strike=90.00" TargetMode="External"/><Relationship Id="rId78" Type="http://schemas.openxmlformats.org/officeDocument/2006/relationships/hyperlink" Target="http://finance.yahoo.com/q?s=AAPL160415P00100000" TargetMode="External"/><Relationship Id="rId81" Type="http://schemas.openxmlformats.org/officeDocument/2006/relationships/hyperlink" Target="http://finance.yahoo.com/q/op?s=AAPL&amp;strike=110.00" TargetMode="External"/><Relationship Id="rId86" Type="http://schemas.openxmlformats.org/officeDocument/2006/relationships/hyperlink" Target="http://finance.yahoo.com/q?s=AAPL160415P00120000" TargetMode="External"/><Relationship Id="rId94" Type="http://schemas.openxmlformats.org/officeDocument/2006/relationships/hyperlink" Target="http://finance.yahoo.com/q?s=AAPL160415P00140000" TargetMode="External"/><Relationship Id="rId99" Type="http://schemas.openxmlformats.org/officeDocument/2006/relationships/hyperlink" Target="http://finance.yahoo.com/q/op?s=AAPL&amp;strike=155.00" TargetMode="External"/><Relationship Id="rId101" Type="http://schemas.openxmlformats.org/officeDocument/2006/relationships/hyperlink" Target="http://finance.yahoo.com/q/op?s=AAPL&amp;strike=160.00" TargetMode="External"/><Relationship Id="rId4" Type="http://schemas.openxmlformats.org/officeDocument/2006/relationships/hyperlink" Target="http://finance.yahoo.com/q?s=AAPL160415C00060000" TargetMode="External"/><Relationship Id="rId9" Type="http://schemas.openxmlformats.org/officeDocument/2006/relationships/hyperlink" Target="http://finance.yahoo.com/q/op?s=AAPL&amp;strike=75.00" TargetMode="External"/><Relationship Id="rId13" Type="http://schemas.openxmlformats.org/officeDocument/2006/relationships/hyperlink" Target="http://finance.yahoo.com/q/op?s=AAPL&amp;strike=85.00" TargetMode="External"/><Relationship Id="rId18" Type="http://schemas.openxmlformats.org/officeDocument/2006/relationships/hyperlink" Target="http://finance.yahoo.com/q?s=AAPL160415C00095000" TargetMode="External"/><Relationship Id="rId39" Type="http://schemas.openxmlformats.org/officeDocument/2006/relationships/hyperlink" Target="http://finance.yahoo.com/q/op?s=AAPL&amp;strike=150.00" TargetMode="External"/><Relationship Id="rId109" Type="http://schemas.openxmlformats.org/officeDocument/2006/relationships/hyperlink" Target="http://finance.yahoo.com/q/op?s=AAPL&amp;strike=180.00" TargetMode="External"/><Relationship Id="rId34" Type="http://schemas.openxmlformats.org/officeDocument/2006/relationships/hyperlink" Target="http://finance.yahoo.com/q?s=AAPL160415C00135000" TargetMode="External"/><Relationship Id="rId50" Type="http://schemas.openxmlformats.org/officeDocument/2006/relationships/hyperlink" Target="http://finance.yahoo.com/q?s=AAPL160415C00175000" TargetMode="External"/><Relationship Id="rId55" Type="http://schemas.openxmlformats.org/officeDocument/2006/relationships/hyperlink" Target="http://finance.yahoo.com/q/op?s=AAPL&amp;strike=190.00" TargetMode="External"/><Relationship Id="rId76" Type="http://schemas.openxmlformats.org/officeDocument/2006/relationships/hyperlink" Target="http://finance.yahoo.com/q?s=AAPL160415P00095000" TargetMode="External"/><Relationship Id="rId97" Type="http://schemas.openxmlformats.org/officeDocument/2006/relationships/hyperlink" Target="http://finance.yahoo.com/q/op?s=AAPL&amp;strike=150.00" TargetMode="External"/><Relationship Id="rId104" Type="http://schemas.openxmlformats.org/officeDocument/2006/relationships/hyperlink" Target="http://finance.yahoo.com/q?s=AAPL160415P00165000" TargetMode="External"/><Relationship Id="rId7" Type="http://schemas.openxmlformats.org/officeDocument/2006/relationships/hyperlink" Target="http://finance.yahoo.com/q/op?s=AAPL&amp;strike=70.00" TargetMode="External"/><Relationship Id="rId71" Type="http://schemas.openxmlformats.org/officeDocument/2006/relationships/hyperlink" Target="http://finance.yahoo.com/q/op?s=AAPL&amp;strike=85.00" TargetMode="External"/><Relationship Id="rId92" Type="http://schemas.openxmlformats.org/officeDocument/2006/relationships/hyperlink" Target="http://finance.yahoo.com/q?s=AAPL160415P00135000" TargetMode="External"/><Relationship Id="rId2" Type="http://schemas.openxmlformats.org/officeDocument/2006/relationships/hyperlink" Target="http://finance.yahoo.com/q?s=AAPL160415C00055000" TargetMode="External"/><Relationship Id="rId29" Type="http://schemas.openxmlformats.org/officeDocument/2006/relationships/hyperlink" Target="http://finance.yahoo.com/q/op?s=AAPL&amp;strike=125.00" TargetMode="External"/><Relationship Id="rId24" Type="http://schemas.openxmlformats.org/officeDocument/2006/relationships/hyperlink" Target="http://finance.yahoo.com/q?s=AAPL160415C00110000" TargetMode="External"/><Relationship Id="rId40" Type="http://schemas.openxmlformats.org/officeDocument/2006/relationships/hyperlink" Target="http://finance.yahoo.com/q?s=AAPL160415C00150000" TargetMode="External"/><Relationship Id="rId45" Type="http://schemas.openxmlformats.org/officeDocument/2006/relationships/hyperlink" Target="http://finance.yahoo.com/q/op?s=AAPL&amp;strike=165.00" TargetMode="External"/><Relationship Id="rId66" Type="http://schemas.openxmlformats.org/officeDocument/2006/relationships/hyperlink" Target="http://finance.yahoo.com/q?s=AAPL160415P00070000" TargetMode="External"/><Relationship Id="rId87" Type="http://schemas.openxmlformats.org/officeDocument/2006/relationships/hyperlink" Target="http://finance.yahoo.com/q/op?s=AAPL&amp;strike=125.00" TargetMode="External"/><Relationship Id="rId110" Type="http://schemas.openxmlformats.org/officeDocument/2006/relationships/hyperlink" Target="http://finance.yahoo.com/q?s=AAPL160415P00180000" TargetMode="External"/><Relationship Id="rId115" Type="http://schemas.openxmlformats.org/officeDocument/2006/relationships/hyperlink" Target="http://finance.yahoo.com/q/op?s=AAPL&amp;strike=195.00" TargetMode="External"/><Relationship Id="rId61" Type="http://schemas.openxmlformats.org/officeDocument/2006/relationships/hyperlink" Target="http://finance.yahoo.com/q/op?s=AAPL&amp;strike=60.00" TargetMode="External"/><Relationship Id="rId82" Type="http://schemas.openxmlformats.org/officeDocument/2006/relationships/hyperlink" Target="http://finance.yahoo.com/q?s=AAPL160415P00110000" TargetMode="External"/><Relationship Id="rId19" Type="http://schemas.openxmlformats.org/officeDocument/2006/relationships/hyperlink" Target="http://finance.yahoo.com/q/op?s=AAPL&amp;strike=100.00" TargetMode="External"/><Relationship Id="rId14" Type="http://schemas.openxmlformats.org/officeDocument/2006/relationships/hyperlink" Target="http://finance.yahoo.com/q?s=AAPL160415C00085000" TargetMode="External"/><Relationship Id="rId30" Type="http://schemas.openxmlformats.org/officeDocument/2006/relationships/hyperlink" Target="http://finance.yahoo.com/q?s=AAPL160415C00125000" TargetMode="External"/><Relationship Id="rId35" Type="http://schemas.openxmlformats.org/officeDocument/2006/relationships/hyperlink" Target="http://finance.yahoo.com/q/op?s=AAPL&amp;strike=140.00" TargetMode="External"/><Relationship Id="rId56" Type="http://schemas.openxmlformats.org/officeDocument/2006/relationships/hyperlink" Target="http://finance.yahoo.com/q?s=AAPL160415C00190000" TargetMode="External"/><Relationship Id="rId77" Type="http://schemas.openxmlformats.org/officeDocument/2006/relationships/hyperlink" Target="http://finance.yahoo.com/q/op?s=AAPL&amp;strike=100.00" TargetMode="External"/><Relationship Id="rId100" Type="http://schemas.openxmlformats.org/officeDocument/2006/relationships/hyperlink" Target="http://finance.yahoo.com/q?s=AAPL160415P00155000" TargetMode="External"/><Relationship Id="rId105" Type="http://schemas.openxmlformats.org/officeDocument/2006/relationships/hyperlink" Target="http://finance.yahoo.com/q/op?s=AAPL&amp;strike=170.00" TargetMode="External"/><Relationship Id="rId8" Type="http://schemas.openxmlformats.org/officeDocument/2006/relationships/hyperlink" Target="http://finance.yahoo.com/q?s=AAPL160415C00070000" TargetMode="External"/><Relationship Id="rId51" Type="http://schemas.openxmlformats.org/officeDocument/2006/relationships/hyperlink" Target="http://finance.yahoo.com/q/op?s=AAPL&amp;strike=180.00" TargetMode="External"/><Relationship Id="rId72" Type="http://schemas.openxmlformats.org/officeDocument/2006/relationships/hyperlink" Target="http://finance.yahoo.com/q?s=AAPL160415P00085000" TargetMode="External"/><Relationship Id="rId93" Type="http://schemas.openxmlformats.org/officeDocument/2006/relationships/hyperlink" Target="http://finance.yahoo.com/q/op?s=AAPL&amp;strike=140.00" TargetMode="External"/><Relationship Id="rId98" Type="http://schemas.openxmlformats.org/officeDocument/2006/relationships/hyperlink" Target="http://finance.yahoo.com/q?s=AAPL160415P00150000" TargetMode="External"/><Relationship Id="rId3" Type="http://schemas.openxmlformats.org/officeDocument/2006/relationships/hyperlink" Target="http://finance.yahoo.com/q/op?s=AAPL&amp;strike=60.00" TargetMode="External"/><Relationship Id="rId25" Type="http://schemas.openxmlformats.org/officeDocument/2006/relationships/hyperlink" Target="http://finance.yahoo.com/q/op?s=AAPL&amp;strike=115.00" TargetMode="External"/><Relationship Id="rId46" Type="http://schemas.openxmlformats.org/officeDocument/2006/relationships/hyperlink" Target="http://finance.yahoo.com/q?s=AAPL160415C00165000" TargetMode="External"/><Relationship Id="rId67" Type="http://schemas.openxmlformats.org/officeDocument/2006/relationships/hyperlink" Target="http://finance.yahoo.com/q/op?s=AAPL&amp;strike=75.00" TargetMode="External"/><Relationship Id="rId116" Type="http://schemas.openxmlformats.org/officeDocument/2006/relationships/hyperlink" Target="http://finance.yahoo.com/q?s=AAPL160415P00195000" TargetMode="External"/><Relationship Id="rId20" Type="http://schemas.openxmlformats.org/officeDocument/2006/relationships/hyperlink" Target="http://finance.yahoo.com/q?s=AAPL160415C00100000" TargetMode="External"/><Relationship Id="rId41" Type="http://schemas.openxmlformats.org/officeDocument/2006/relationships/hyperlink" Target="http://finance.yahoo.com/q/op?s=AAPL&amp;strike=155.00" TargetMode="External"/><Relationship Id="rId62" Type="http://schemas.openxmlformats.org/officeDocument/2006/relationships/hyperlink" Target="http://finance.yahoo.com/q?s=AAPL160415P00060000" TargetMode="External"/><Relationship Id="rId83" Type="http://schemas.openxmlformats.org/officeDocument/2006/relationships/hyperlink" Target="http://finance.yahoo.com/q/op?s=AAPL&amp;strike=115.00" TargetMode="External"/><Relationship Id="rId88" Type="http://schemas.openxmlformats.org/officeDocument/2006/relationships/hyperlink" Target="http://finance.yahoo.com/q?s=AAPL160415P00125000" TargetMode="External"/><Relationship Id="rId111" Type="http://schemas.openxmlformats.org/officeDocument/2006/relationships/hyperlink" Target="http://finance.yahoo.com/q/op?s=AAPL&amp;strike=185.00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AAPL160617C00115000" TargetMode="External"/><Relationship Id="rId21" Type="http://schemas.openxmlformats.org/officeDocument/2006/relationships/hyperlink" Target="http://finance.yahoo.com/q/op?s=AAPL&amp;strike=105.00" TargetMode="External"/><Relationship Id="rId42" Type="http://schemas.openxmlformats.org/officeDocument/2006/relationships/hyperlink" Target="http://finance.yahoo.com/q?s=AAPL160617C00155000" TargetMode="External"/><Relationship Id="rId47" Type="http://schemas.openxmlformats.org/officeDocument/2006/relationships/hyperlink" Target="http://finance.yahoo.com/q/op?s=AAPL&amp;strike=170.00" TargetMode="External"/><Relationship Id="rId63" Type="http://schemas.openxmlformats.org/officeDocument/2006/relationships/hyperlink" Target="http://finance.yahoo.com/q/op?s=AAPL&amp;strike=65.00" TargetMode="External"/><Relationship Id="rId68" Type="http://schemas.openxmlformats.org/officeDocument/2006/relationships/hyperlink" Target="http://finance.yahoo.com/q?s=AAPL160617P00075000" TargetMode="External"/><Relationship Id="rId84" Type="http://schemas.openxmlformats.org/officeDocument/2006/relationships/hyperlink" Target="http://finance.yahoo.com/q?s=AAPL160617P00115000" TargetMode="External"/><Relationship Id="rId89" Type="http://schemas.openxmlformats.org/officeDocument/2006/relationships/hyperlink" Target="http://finance.yahoo.com/q/op?s=AAPL&amp;strike=130.00" TargetMode="External"/><Relationship Id="rId112" Type="http://schemas.openxmlformats.org/officeDocument/2006/relationships/hyperlink" Target="http://finance.yahoo.com/q?s=AAPL160617P00185000" TargetMode="External"/><Relationship Id="rId16" Type="http://schemas.openxmlformats.org/officeDocument/2006/relationships/hyperlink" Target="http://finance.yahoo.com/q?s=AAPL160617C00090000" TargetMode="External"/><Relationship Id="rId107" Type="http://schemas.openxmlformats.org/officeDocument/2006/relationships/hyperlink" Target="http://finance.yahoo.com/q/op?s=AAPL&amp;strike=175.00" TargetMode="External"/><Relationship Id="rId11" Type="http://schemas.openxmlformats.org/officeDocument/2006/relationships/hyperlink" Target="http://finance.yahoo.com/q/op?s=AAPL&amp;strike=80.00" TargetMode="External"/><Relationship Id="rId32" Type="http://schemas.openxmlformats.org/officeDocument/2006/relationships/hyperlink" Target="http://finance.yahoo.com/q?s=AAPL160617C00130000" TargetMode="External"/><Relationship Id="rId37" Type="http://schemas.openxmlformats.org/officeDocument/2006/relationships/hyperlink" Target="http://finance.yahoo.com/q/op?s=AAPL&amp;strike=145.00" TargetMode="External"/><Relationship Id="rId53" Type="http://schemas.openxmlformats.org/officeDocument/2006/relationships/hyperlink" Target="http://finance.yahoo.com/q/op?s=AAPL&amp;strike=185.00" TargetMode="External"/><Relationship Id="rId58" Type="http://schemas.openxmlformats.org/officeDocument/2006/relationships/hyperlink" Target="http://finance.yahoo.com/q?s=AAPL160617C00195000" TargetMode="External"/><Relationship Id="rId74" Type="http://schemas.openxmlformats.org/officeDocument/2006/relationships/hyperlink" Target="http://finance.yahoo.com/q?s=AAPL160617P00090000" TargetMode="External"/><Relationship Id="rId79" Type="http://schemas.openxmlformats.org/officeDocument/2006/relationships/hyperlink" Target="http://finance.yahoo.com/q/op?s=AAPL&amp;strike=105.00" TargetMode="External"/><Relationship Id="rId102" Type="http://schemas.openxmlformats.org/officeDocument/2006/relationships/hyperlink" Target="http://finance.yahoo.com/q?s=AAPL160617P00160000" TargetMode="External"/><Relationship Id="rId5" Type="http://schemas.openxmlformats.org/officeDocument/2006/relationships/hyperlink" Target="http://finance.yahoo.com/q/op?s=AAPL&amp;strike=65.00" TargetMode="External"/><Relationship Id="rId90" Type="http://schemas.openxmlformats.org/officeDocument/2006/relationships/hyperlink" Target="http://finance.yahoo.com/q?s=AAPL160617P00130000" TargetMode="External"/><Relationship Id="rId95" Type="http://schemas.openxmlformats.org/officeDocument/2006/relationships/hyperlink" Target="http://finance.yahoo.com/q/op?s=AAPL&amp;strike=145.00" TargetMode="External"/><Relationship Id="rId22" Type="http://schemas.openxmlformats.org/officeDocument/2006/relationships/hyperlink" Target="http://finance.yahoo.com/q?s=AAPL160617C00105000" TargetMode="External"/><Relationship Id="rId27" Type="http://schemas.openxmlformats.org/officeDocument/2006/relationships/hyperlink" Target="http://finance.yahoo.com/q/op?s=AAPL&amp;strike=120.00" TargetMode="External"/><Relationship Id="rId43" Type="http://schemas.openxmlformats.org/officeDocument/2006/relationships/hyperlink" Target="http://finance.yahoo.com/q/op?s=AAPL&amp;strike=160.00" TargetMode="External"/><Relationship Id="rId48" Type="http://schemas.openxmlformats.org/officeDocument/2006/relationships/hyperlink" Target="http://finance.yahoo.com/q?s=AAPL160617C00170000" TargetMode="External"/><Relationship Id="rId64" Type="http://schemas.openxmlformats.org/officeDocument/2006/relationships/hyperlink" Target="http://finance.yahoo.com/q?s=AAPL160617P00065000" TargetMode="External"/><Relationship Id="rId69" Type="http://schemas.openxmlformats.org/officeDocument/2006/relationships/hyperlink" Target="http://finance.yahoo.com/q/op?s=AAPL&amp;strike=80.00" TargetMode="External"/><Relationship Id="rId113" Type="http://schemas.openxmlformats.org/officeDocument/2006/relationships/hyperlink" Target="http://finance.yahoo.com/q/op?s=AAPL&amp;strike=195.00" TargetMode="External"/><Relationship Id="rId80" Type="http://schemas.openxmlformats.org/officeDocument/2006/relationships/hyperlink" Target="http://finance.yahoo.com/q?s=AAPL160617P00105000" TargetMode="External"/><Relationship Id="rId85" Type="http://schemas.openxmlformats.org/officeDocument/2006/relationships/hyperlink" Target="http://finance.yahoo.com/q/op?s=AAPL&amp;strike=120.00" TargetMode="External"/><Relationship Id="rId12" Type="http://schemas.openxmlformats.org/officeDocument/2006/relationships/hyperlink" Target="http://finance.yahoo.com/q?s=AAPL160617C00080000" TargetMode="External"/><Relationship Id="rId17" Type="http://schemas.openxmlformats.org/officeDocument/2006/relationships/hyperlink" Target="http://finance.yahoo.com/q/op?s=AAPL&amp;strike=95.00" TargetMode="External"/><Relationship Id="rId33" Type="http://schemas.openxmlformats.org/officeDocument/2006/relationships/hyperlink" Target="http://finance.yahoo.com/q/op?s=AAPL&amp;strike=135.00" TargetMode="External"/><Relationship Id="rId38" Type="http://schemas.openxmlformats.org/officeDocument/2006/relationships/hyperlink" Target="http://finance.yahoo.com/q?s=AAPL160617C00145000" TargetMode="External"/><Relationship Id="rId59" Type="http://schemas.openxmlformats.org/officeDocument/2006/relationships/hyperlink" Target="http://finance.yahoo.com/q/op?s=AAPL&amp;strike=55.00" TargetMode="External"/><Relationship Id="rId103" Type="http://schemas.openxmlformats.org/officeDocument/2006/relationships/hyperlink" Target="http://finance.yahoo.com/q/op?s=AAPL&amp;strike=165.00" TargetMode="External"/><Relationship Id="rId108" Type="http://schemas.openxmlformats.org/officeDocument/2006/relationships/hyperlink" Target="http://finance.yahoo.com/q?s=AAPL160617P00175000" TargetMode="External"/><Relationship Id="rId54" Type="http://schemas.openxmlformats.org/officeDocument/2006/relationships/hyperlink" Target="http://finance.yahoo.com/q?s=AAPL160617C00185000" TargetMode="External"/><Relationship Id="rId70" Type="http://schemas.openxmlformats.org/officeDocument/2006/relationships/hyperlink" Target="http://finance.yahoo.com/q?s=AAPL160617P00080000" TargetMode="External"/><Relationship Id="rId75" Type="http://schemas.openxmlformats.org/officeDocument/2006/relationships/hyperlink" Target="http://finance.yahoo.com/q/op?s=AAPL&amp;strike=95.00" TargetMode="External"/><Relationship Id="rId91" Type="http://schemas.openxmlformats.org/officeDocument/2006/relationships/hyperlink" Target="http://finance.yahoo.com/q/op?s=AAPL&amp;strike=135.00" TargetMode="External"/><Relationship Id="rId96" Type="http://schemas.openxmlformats.org/officeDocument/2006/relationships/hyperlink" Target="http://finance.yahoo.com/q?s=AAPL160617P00145000" TargetMode="External"/><Relationship Id="rId1" Type="http://schemas.openxmlformats.org/officeDocument/2006/relationships/hyperlink" Target="http://finance.yahoo.com/q/op?s=AAPL&amp;strike=55.00" TargetMode="External"/><Relationship Id="rId6" Type="http://schemas.openxmlformats.org/officeDocument/2006/relationships/hyperlink" Target="http://finance.yahoo.com/q?s=AAPL160617C00065000" TargetMode="External"/><Relationship Id="rId15" Type="http://schemas.openxmlformats.org/officeDocument/2006/relationships/hyperlink" Target="http://finance.yahoo.com/q/op?s=AAPL&amp;strike=90.00" TargetMode="External"/><Relationship Id="rId23" Type="http://schemas.openxmlformats.org/officeDocument/2006/relationships/hyperlink" Target="http://finance.yahoo.com/q/op?s=AAPL&amp;strike=110.00" TargetMode="External"/><Relationship Id="rId28" Type="http://schemas.openxmlformats.org/officeDocument/2006/relationships/hyperlink" Target="http://finance.yahoo.com/q?s=AAPL160617C00120000" TargetMode="External"/><Relationship Id="rId36" Type="http://schemas.openxmlformats.org/officeDocument/2006/relationships/hyperlink" Target="http://finance.yahoo.com/q?s=AAPL160617C00140000" TargetMode="External"/><Relationship Id="rId49" Type="http://schemas.openxmlformats.org/officeDocument/2006/relationships/hyperlink" Target="http://finance.yahoo.com/q/op?s=AAPL&amp;strike=175.00" TargetMode="External"/><Relationship Id="rId57" Type="http://schemas.openxmlformats.org/officeDocument/2006/relationships/hyperlink" Target="http://finance.yahoo.com/q/op?s=AAPL&amp;strike=195.00" TargetMode="External"/><Relationship Id="rId106" Type="http://schemas.openxmlformats.org/officeDocument/2006/relationships/hyperlink" Target="http://finance.yahoo.com/q?s=AAPL160617P00170000" TargetMode="External"/><Relationship Id="rId114" Type="http://schemas.openxmlformats.org/officeDocument/2006/relationships/hyperlink" Target="http://finance.yahoo.com/q?s=AAPL160617P00195000" TargetMode="External"/><Relationship Id="rId10" Type="http://schemas.openxmlformats.org/officeDocument/2006/relationships/hyperlink" Target="http://finance.yahoo.com/q?s=AAPL160617C00075000" TargetMode="External"/><Relationship Id="rId31" Type="http://schemas.openxmlformats.org/officeDocument/2006/relationships/hyperlink" Target="http://finance.yahoo.com/q/op?s=AAPL&amp;strike=130.00" TargetMode="External"/><Relationship Id="rId44" Type="http://schemas.openxmlformats.org/officeDocument/2006/relationships/hyperlink" Target="http://finance.yahoo.com/q?s=AAPL160617C00160000" TargetMode="External"/><Relationship Id="rId52" Type="http://schemas.openxmlformats.org/officeDocument/2006/relationships/hyperlink" Target="http://finance.yahoo.com/q?s=AAPL160617C00180000" TargetMode="External"/><Relationship Id="rId60" Type="http://schemas.openxmlformats.org/officeDocument/2006/relationships/hyperlink" Target="http://finance.yahoo.com/q?s=AAPL160617P00055000" TargetMode="External"/><Relationship Id="rId65" Type="http://schemas.openxmlformats.org/officeDocument/2006/relationships/hyperlink" Target="http://finance.yahoo.com/q/op?s=AAPL&amp;strike=70.00" TargetMode="External"/><Relationship Id="rId73" Type="http://schemas.openxmlformats.org/officeDocument/2006/relationships/hyperlink" Target="http://finance.yahoo.com/q/op?s=AAPL&amp;strike=90.00" TargetMode="External"/><Relationship Id="rId78" Type="http://schemas.openxmlformats.org/officeDocument/2006/relationships/hyperlink" Target="http://finance.yahoo.com/q?s=AAPL160617P00100000" TargetMode="External"/><Relationship Id="rId81" Type="http://schemas.openxmlformats.org/officeDocument/2006/relationships/hyperlink" Target="http://finance.yahoo.com/q/op?s=AAPL&amp;strike=110.00" TargetMode="External"/><Relationship Id="rId86" Type="http://schemas.openxmlformats.org/officeDocument/2006/relationships/hyperlink" Target="http://finance.yahoo.com/q?s=AAPL160617P00120000" TargetMode="External"/><Relationship Id="rId94" Type="http://schemas.openxmlformats.org/officeDocument/2006/relationships/hyperlink" Target="http://finance.yahoo.com/q?s=AAPL160617P00140000" TargetMode="External"/><Relationship Id="rId99" Type="http://schemas.openxmlformats.org/officeDocument/2006/relationships/hyperlink" Target="http://finance.yahoo.com/q/op?s=AAPL&amp;strike=155.00" TargetMode="External"/><Relationship Id="rId101" Type="http://schemas.openxmlformats.org/officeDocument/2006/relationships/hyperlink" Target="http://finance.yahoo.com/q/op?s=AAPL&amp;strike=160.00" TargetMode="External"/><Relationship Id="rId4" Type="http://schemas.openxmlformats.org/officeDocument/2006/relationships/hyperlink" Target="http://finance.yahoo.com/q?s=AAPL160617C00060000" TargetMode="External"/><Relationship Id="rId9" Type="http://schemas.openxmlformats.org/officeDocument/2006/relationships/hyperlink" Target="http://finance.yahoo.com/q/op?s=AAPL&amp;strike=75.00" TargetMode="External"/><Relationship Id="rId13" Type="http://schemas.openxmlformats.org/officeDocument/2006/relationships/hyperlink" Target="http://finance.yahoo.com/q/op?s=AAPL&amp;strike=85.00" TargetMode="External"/><Relationship Id="rId18" Type="http://schemas.openxmlformats.org/officeDocument/2006/relationships/hyperlink" Target="http://finance.yahoo.com/q?s=AAPL160617C00095000" TargetMode="External"/><Relationship Id="rId39" Type="http://schemas.openxmlformats.org/officeDocument/2006/relationships/hyperlink" Target="http://finance.yahoo.com/q/op?s=AAPL&amp;strike=150.00" TargetMode="External"/><Relationship Id="rId109" Type="http://schemas.openxmlformats.org/officeDocument/2006/relationships/hyperlink" Target="http://finance.yahoo.com/q/op?s=AAPL&amp;strike=180.00" TargetMode="External"/><Relationship Id="rId34" Type="http://schemas.openxmlformats.org/officeDocument/2006/relationships/hyperlink" Target="http://finance.yahoo.com/q?s=AAPL160617C00135000" TargetMode="External"/><Relationship Id="rId50" Type="http://schemas.openxmlformats.org/officeDocument/2006/relationships/hyperlink" Target="http://finance.yahoo.com/q?s=AAPL160617C00175000" TargetMode="External"/><Relationship Id="rId55" Type="http://schemas.openxmlformats.org/officeDocument/2006/relationships/hyperlink" Target="http://finance.yahoo.com/q/op?s=AAPL&amp;strike=190.00" TargetMode="External"/><Relationship Id="rId76" Type="http://schemas.openxmlformats.org/officeDocument/2006/relationships/hyperlink" Target="http://finance.yahoo.com/q?s=AAPL160617P00095000" TargetMode="External"/><Relationship Id="rId97" Type="http://schemas.openxmlformats.org/officeDocument/2006/relationships/hyperlink" Target="http://finance.yahoo.com/q/op?s=AAPL&amp;strike=150.00" TargetMode="External"/><Relationship Id="rId104" Type="http://schemas.openxmlformats.org/officeDocument/2006/relationships/hyperlink" Target="http://finance.yahoo.com/q?s=AAPL160617P00165000" TargetMode="External"/><Relationship Id="rId7" Type="http://schemas.openxmlformats.org/officeDocument/2006/relationships/hyperlink" Target="http://finance.yahoo.com/q/op?s=AAPL&amp;strike=70.00" TargetMode="External"/><Relationship Id="rId71" Type="http://schemas.openxmlformats.org/officeDocument/2006/relationships/hyperlink" Target="http://finance.yahoo.com/q/op?s=AAPL&amp;strike=85.00" TargetMode="External"/><Relationship Id="rId92" Type="http://schemas.openxmlformats.org/officeDocument/2006/relationships/hyperlink" Target="http://finance.yahoo.com/q?s=AAPL160617P00135000" TargetMode="External"/><Relationship Id="rId2" Type="http://schemas.openxmlformats.org/officeDocument/2006/relationships/hyperlink" Target="http://finance.yahoo.com/q?s=AAPL160617C00055000" TargetMode="External"/><Relationship Id="rId29" Type="http://schemas.openxmlformats.org/officeDocument/2006/relationships/hyperlink" Target="http://finance.yahoo.com/q/op?s=AAPL&amp;strike=125.00" TargetMode="External"/><Relationship Id="rId24" Type="http://schemas.openxmlformats.org/officeDocument/2006/relationships/hyperlink" Target="http://finance.yahoo.com/q?s=AAPL160617C00110000" TargetMode="External"/><Relationship Id="rId40" Type="http://schemas.openxmlformats.org/officeDocument/2006/relationships/hyperlink" Target="http://finance.yahoo.com/q?s=AAPL160617C00150000" TargetMode="External"/><Relationship Id="rId45" Type="http://schemas.openxmlformats.org/officeDocument/2006/relationships/hyperlink" Target="http://finance.yahoo.com/q/op?s=AAPL&amp;strike=165.00" TargetMode="External"/><Relationship Id="rId66" Type="http://schemas.openxmlformats.org/officeDocument/2006/relationships/hyperlink" Target="http://finance.yahoo.com/q?s=AAPL160617P00070000" TargetMode="External"/><Relationship Id="rId87" Type="http://schemas.openxmlformats.org/officeDocument/2006/relationships/hyperlink" Target="http://finance.yahoo.com/q/op?s=AAPL&amp;strike=125.00" TargetMode="External"/><Relationship Id="rId110" Type="http://schemas.openxmlformats.org/officeDocument/2006/relationships/hyperlink" Target="http://finance.yahoo.com/q?s=AAPL160617P00180000" TargetMode="External"/><Relationship Id="rId61" Type="http://schemas.openxmlformats.org/officeDocument/2006/relationships/hyperlink" Target="http://finance.yahoo.com/q/op?s=AAPL&amp;strike=60.00" TargetMode="External"/><Relationship Id="rId82" Type="http://schemas.openxmlformats.org/officeDocument/2006/relationships/hyperlink" Target="http://finance.yahoo.com/q?s=AAPL160617P00110000" TargetMode="External"/><Relationship Id="rId19" Type="http://schemas.openxmlformats.org/officeDocument/2006/relationships/hyperlink" Target="http://finance.yahoo.com/q/op?s=AAPL&amp;strike=100.00" TargetMode="External"/><Relationship Id="rId14" Type="http://schemas.openxmlformats.org/officeDocument/2006/relationships/hyperlink" Target="http://finance.yahoo.com/q?s=AAPL160617C00085000" TargetMode="External"/><Relationship Id="rId30" Type="http://schemas.openxmlformats.org/officeDocument/2006/relationships/hyperlink" Target="http://finance.yahoo.com/q?s=AAPL160617C00125000" TargetMode="External"/><Relationship Id="rId35" Type="http://schemas.openxmlformats.org/officeDocument/2006/relationships/hyperlink" Target="http://finance.yahoo.com/q/op?s=AAPL&amp;strike=140.00" TargetMode="External"/><Relationship Id="rId56" Type="http://schemas.openxmlformats.org/officeDocument/2006/relationships/hyperlink" Target="http://finance.yahoo.com/q?s=AAPL160617C00190000" TargetMode="External"/><Relationship Id="rId77" Type="http://schemas.openxmlformats.org/officeDocument/2006/relationships/hyperlink" Target="http://finance.yahoo.com/q/op?s=AAPL&amp;strike=100.00" TargetMode="External"/><Relationship Id="rId100" Type="http://schemas.openxmlformats.org/officeDocument/2006/relationships/hyperlink" Target="http://finance.yahoo.com/q?s=AAPL160617P00155000" TargetMode="External"/><Relationship Id="rId105" Type="http://schemas.openxmlformats.org/officeDocument/2006/relationships/hyperlink" Target="http://finance.yahoo.com/q/op?s=AAPL&amp;strike=170.00" TargetMode="External"/><Relationship Id="rId8" Type="http://schemas.openxmlformats.org/officeDocument/2006/relationships/hyperlink" Target="http://finance.yahoo.com/q?s=AAPL160617C00070000" TargetMode="External"/><Relationship Id="rId51" Type="http://schemas.openxmlformats.org/officeDocument/2006/relationships/hyperlink" Target="http://finance.yahoo.com/q/op?s=AAPL&amp;strike=180.00" TargetMode="External"/><Relationship Id="rId72" Type="http://schemas.openxmlformats.org/officeDocument/2006/relationships/hyperlink" Target="http://finance.yahoo.com/q?s=AAPL160617P00085000" TargetMode="External"/><Relationship Id="rId93" Type="http://schemas.openxmlformats.org/officeDocument/2006/relationships/hyperlink" Target="http://finance.yahoo.com/q/op?s=AAPL&amp;strike=140.00" TargetMode="External"/><Relationship Id="rId98" Type="http://schemas.openxmlformats.org/officeDocument/2006/relationships/hyperlink" Target="http://finance.yahoo.com/q?s=AAPL160617P00150000" TargetMode="External"/><Relationship Id="rId3" Type="http://schemas.openxmlformats.org/officeDocument/2006/relationships/hyperlink" Target="http://finance.yahoo.com/q/op?s=AAPL&amp;strike=60.00" TargetMode="External"/><Relationship Id="rId25" Type="http://schemas.openxmlformats.org/officeDocument/2006/relationships/hyperlink" Target="http://finance.yahoo.com/q/op?s=AAPL&amp;strike=115.00" TargetMode="External"/><Relationship Id="rId46" Type="http://schemas.openxmlformats.org/officeDocument/2006/relationships/hyperlink" Target="http://finance.yahoo.com/q?s=AAPL160617C00165000" TargetMode="External"/><Relationship Id="rId67" Type="http://schemas.openxmlformats.org/officeDocument/2006/relationships/hyperlink" Target="http://finance.yahoo.com/q/op?s=AAPL&amp;strike=75.00" TargetMode="External"/><Relationship Id="rId20" Type="http://schemas.openxmlformats.org/officeDocument/2006/relationships/hyperlink" Target="http://finance.yahoo.com/q?s=AAPL160617C00100000" TargetMode="External"/><Relationship Id="rId41" Type="http://schemas.openxmlformats.org/officeDocument/2006/relationships/hyperlink" Target="http://finance.yahoo.com/q/op?s=AAPL&amp;strike=155.00" TargetMode="External"/><Relationship Id="rId62" Type="http://schemas.openxmlformats.org/officeDocument/2006/relationships/hyperlink" Target="http://finance.yahoo.com/q?s=AAPL160617P00060000" TargetMode="External"/><Relationship Id="rId83" Type="http://schemas.openxmlformats.org/officeDocument/2006/relationships/hyperlink" Target="http://finance.yahoo.com/q/op?s=AAPL&amp;strike=115.00" TargetMode="External"/><Relationship Id="rId88" Type="http://schemas.openxmlformats.org/officeDocument/2006/relationships/hyperlink" Target="http://finance.yahoo.com/q?s=AAPL160617P00125000" TargetMode="External"/><Relationship Id="rId111" Type="http://schemas.openxmlformats.org/officeDocument/2006/relationships/hyperlink" Target="http://finance.yahoo.com/q/op?s=AAPL&amp;strike=185.00" TargetMode="Externa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://finance.yahoo.com/q/op?s=AAPL&amp;strike=125.00" TargetMode="External"/><Relationship Id="rId21" Type="http://schemas.openxmlformats.org/officeDocument/2006/relationships/hyperlink" Target="http://finance.yahoo.com/q/op?s=AAPL&amp;strike=145.00" TargetMode="External"/><Relationship Id="rId42" Type="http://schemas.openxmlformats.org/officeDocument/2006/relationships/hyperlink" Target="http://finance.yahoo.com/q?s=AAPL151218C00130000" TargetMode="External"/><Relationship Id="rId47" Type="http://schemas.openxmlformats.org/officeDocument/2006/relationships/hyperlink" Target="http://finance.yahoo.com/q/op?s=AAPL&amp;strike=145.00" TargetMode="External"/><Relationship Id="rId63" Type="http://schemas.openxmlformats.org/officeDocument/2006/relationships/hyperlink" Target="http://finance.yahoo.com/q/op?s=AAPL&amp;strike=120.00" TargetMode="External"/><Relationship Id="rId68" Type="http://schemas.openxmlformats.org/officeDocument/2006/relationships/hyperlink" Target="http://finance.yahoo.com/q?s=AAPL160219C00130000" TargetMode="External"/><Relationship Id="rId84" Type="http://schemas.openxmlformats.org/officeDocument/2006/relationships/hyperlink" Target="http://finance.yahoo.com/q?s=AAPL160415C00105000" TargetMode="External"/><Relationship Id="rId89" Type="http://schemas.openxmlformats.org/officeDocument/2006/relationships/hyperlink" Target="http://finance.yahoo.com/q/op?s=AAPL&amp;strike=120.00" TargetMode="External"/><Relationship Id="rId112" Type="http://schemas.openxmlformats.org/officeDocument/2006/relationships/hyperlink" Target="http://finance.yahoo.com/q?s=AAPL160617C00110000" TargetMode="External"/><Relationship Id="rId16" Type="http://schemas.openxmlformats.org/officeDocument/2006/relationships/hyperlink" Target="http://finance.yahoo.com/q?s=AAPL160617C00130000" TargetMode="External"/><Relationship Id="rId107" Type="http://schemas.openxmlformats.org/officeDocument/2006/relationships/hyperlink" Target="http://finance.yahoo.com/q/op?s=AAPL&amp;strike=100.00" TargetMode="External"/><Relationship Id="rId11" Type="http://schemas.openxmlformats.org/officeDocument/2006/relationships/hyperlink" Target="http://finance.yahoo.com/q/op?s=AAPL&amp;strike=120.00" TargetMode="External"/><Relationship Id="rId32" Type="http://schemas.openxmlformats.org/officeDocument/2006/relationships/hyperlink" Target="http://finance.yahoo.com/q?s=AAPL151218C00105000" TargetMode="External"/><Relationship Id="rId37" Type="http://schemas.openxmlformats.org/officeDocument/2006/relationships/hyperlink" Target="http://finance.yahoo.com/q/op?s=AAPL&amp;strike=120.00" TargetMode="External"/><Relationship Id="rId53" Type="http://schemas.openxmlformats.org/officeDocument/2006/relationships/hyperlink" Target="http://finance.yahoo.com/q/op?s=AAPL&amp;strike=95.00" TargetMode="External"/><Relationship Id="rId58" Type="http://schemas.openxmlformats.org/officeDocument/2006/relationships/hyperlink" Target="http://finance.yahoo.com/q?s=AAPL160219C00105000" TargetMode="External"/><Relationship Id="rId74" Type="http://schemas.openxmlformats.org/officeDocument/2006/relationships/hyperlink" Target="http://finance.yahoo.com/q?s=AAPL160219C00145000" TargetMode="External"/><Relationship Id="rId79" Type="http://schemas.openxmlformats.org/officeDocument/2006/relationships/hyperlink" Target="http://finance.yahoo.com/q/op?s=AAPL&amp;strike=95.00" TargetMode="External"/><Relationship Id="rId102" Type="http://schemas.openxmlformats.org/officeDocument/2006/relationships/hyperlink" Target="http://finance.yahoo.com/q?s=AAPL160415C00150000" TargetMode="External"/><Relationship Id="rId123" Type="http://schemas.openxmlformats.org/officeDocument/2006/relationships/hyperlink" Target="http://finance.yahoo.com/q/op?s=AAPL&amp;strike=140.00" TargetMode="External"/><Relationship Id="rId128" Type="http://schemas.openxmlformats.org/officeDocument/2006/relationships/hyperlink" Target="http://finance.yahoo.com/q?s=AAPL160617C00150000" TargetMode="External"/><Relationship Id="rId5" Type="http://schemas.openxmlformats.org/officeDocument/2006/relationships/hyperlink" Target="http://finance.yahoo.com/q/op?s=AAPL&amp;strike=105.00" TargetMode="External"/><Relationship Id="rId90" Type="http://schemas.openxmlformats.org/officeDocument/2006/relationships/hyperlink" Target="http://finance.yahoo.com/q?s=AAPL160415C00120000" TargetMode="External"/><Relationship Id="rId95" Type="http://schemas.openxmlformats.org/officeDocument/2006/relationships/hyperlink" Target="http://finance.yahoo.com/q/op?s=AAPL&amp;strike=135.00" TargetMode="External"/><Relationship Id="rId22" Type="http://schemas.openxmlformats.org/officeDocument/2006/relationships/hyperlink" Target="http://finance.yahoo.com/q?s=AAPL160617C00145000" TargetMode="External"/><Relationship Id="rId27" Type="http://schemas.openxmlformats.org/officeDocument/2006/relationships/hyperlink" Target="http://finance.yahoo.com/q/op?s=AAPL&amp;strike=95.00" TargetMode="External"/><Relationship Id="rId43" Type="http://schemas.openxmlformats.org/officeDocument/2006/relationships/hyperlink" Target="http://finance.yahoo.com/q/op?s=AAPL&amp;strike=135.00" TargetMode="External"/><Relationship Id="rId48" Type="http://schemas.openxmlformats.org/officeDocument/2006/relationships/hyperlink" Target="http://finance.yahoo.com/q?s=AAPL151218C00145000" TargetMode="External"/><Relationship Id="rId64" Type="http://schemas.openxmlformats.org/officeDocument/2006/relationships/hyperlink" Target="http://finance.yahoo.com/q?s=AAPL160219C00120000" TargetMode="External"/><Relationship Id="rId69" Type="http://schemas.openxmlformats.org/officeDocument/2006/relationships/hyperlink" Target="http://finance.yahoo.com/q/op?s=AAPL&amp;strike=135.00" TargetMode="External"/><Relationship Id="rId113" Type="http://schemas.openxmlformats.org/officeDocument/2006/relationships/hyperlink" Target="http://finance.yahoo.com/q/op?s=AAPL&amp;strike=115.00" TargetMode="External"/><Relationship Id="rId118" Type="http://schemas.openxmlformats.org/officeDocument/2006/relationships/hyperlink" Target="http://finance.yahoo.com/q?s=AAPL160617C00125000" TargetMode="External"/><Relationship Id="rId80" Type="http://schemas.openxmlformats.org/officeDocument/2006/relationships/hyperlink" Target="http://finance.yahoo.com/q?s=AAPL160415C00095000" TargetMode="External"/><Relationship Id="rId85" Type="http://schemas.openxmlformats.org/officeDocument/2006/relationships/hyperlink" Target="http://finance.yahoo.com/q/op?s=AAPL&amp;strike=110.00" TargetMode="External"/><Relationship Id="rId12" Type="http://schemas.openxmlformats.org/officeDocument/2006/relationships/hyperlink" Target="http://finance.yahoo.com/q?s=AAPL160617C00120000" TargetMode="External"/><Relationship Id="rId17" Type="http://schemas.openxmlformats.org/officeDocument/2006/relationships/hyperlink" Target="http://finance.yahoo.com/q/op?s=AAPL&amp;strike=135.00" TargetMode="External"/><Relationship Id="rId33" Type="http://schemas.openxmlformats.org/officeDocument/2006/relationships/hyperlink" Target="http://finance.yahoo.com/q/op?s=AAPL&amp;strike=110.00" TargetMode="External"/><Relationship Id="rId38" Type="http://schemas.openxmlformats.org/officeDocument/2006/relationships/hyperlink" Target="http://finance.yahoo.com/q?s=AAPL151218C00120000" TargetMode="External"/><Relationship Id="rId59" Type="http://schemas.openxmlformats.org/officeDocument/2006/relationships/hyperlink" Target="http://finance.yahoo.com/q/op?s=AAPL&amp;strike=110.00" TargetMode="External"/><Relationship Id="rId103" Type="http://schemas.openxmlformats.org/officeDocument/2006/relationships/hyperlink" Target="http://finance.yahoo.com/q/op?s=AAPL&amp;strike=90.00" TargetMode="External"/><Relationship Id="rId108" Type="http://schemas.openxmlformats.org/officeDocument/2006/relationships/hyperlink" Target="http://finance.yahoo.com/q?s=AAPL160617C00100000" TargetMode="External"/><Relationship Id="rId124" Type="http://schemas.openxmlformats.org/officeDocument/2006/relationships/hyperlink" Target="http://finance.yahoo.com/q?s=AAPL160617C00140000" TargetMode="External"/><Relationship Id="rId129" Type="http://schemas.openxmlformats.org/officeDocument/2006/relationships/hyperlink" Target="http://finance.yahoo.com/q?s=AAPL160617C00090000" TargetMode="External"/><Relationship Id="rId54" Type="http://schemas.openxmlformats.org/officeDocument/2006/relationships/hyperlink" Target="http://finance.yahoo.com/q?s=AAPL160219C00095000" TargetMode="External"/><Relationship Id="rId70" Type="http://schemas.openxmlformats.org/officeDocument/2006/relationships/hyperlink" Target="http://finance.yahoo.com/q?s=AAPL160219C00135000" TargetMode="External"/><Relationship Id="rId75" Type="http://schemas.openxmlformats.org/officeDocument/2006/relationships/hyperlink" Target="http://finance.yahoo.com/q/op?s=AAPL&amp;strike=150.00" TargetMode="External"/><Relationship Id="rId91" Type="http://schemas.openxmlformats.org/officeDocument/2006/relationships/hyperlink" Target="http://finance.yahoo.com/q/op?s=AAPL&amp;strike=125.00" TargetMode="External"/><Relationship Id="rId96" Type="http://schemas.openxmlformats.org/officeDocument/2006/relationships/hyperlink" Target="http://finance.yahoo.com/q?s=AAPL160415C00135000" TargetMode="External"/><Relationship Id="rId1" Type="http://schemas.openxmlformats.org/officeDocument/2006/relationships/hyperlink" Target="http://finance.yahoo.com/q/op?s=AAPL&amp;strike=90.00" TargetMode="External"/><Relationship Id="rId6" Type="http://schemas.openxmlformats.org/officeDocument/2006/relationships/hyperlink" Target="http://finance.yahoo.com/q?s=AAPL160617C00105000" TargetMode="External"/><Relationship Id="rId23" Type="http://schemas.openxmlformats.org/officeDocument/2006/relationships/hyperlink" Target="http://finance.yahoo.com/q/op?s=AAPL&amp;strike=150.00" TargetMode="External"/><Relationship Id="rId28" Type="http://schemas.openxmlformats.org/officeDocument/2006/relationships/hyperlink" Target="http://finance.yahoo.com/q?s=AAPL151218C00095000" TargetMode="External"/><Relationship Id="rId49" Type="http://schemas.openxmlformats.org/officeDocument/2006/relationships/hyperlink" Target="http://finance.yahoo.com/q/op?s=AAPL&amp;strike=150.00" TargetMode="External"/><Relationship Id="rId114" Type="http://schemas.openxmlformats.org/officeDocument/2006/relationships/hyperlink" Target="http://finance.yahoo.com/q?s=AAPL160617C00115000" TargetMode="External"/><Relationship Id="rId119" Type="http://schemas.openxmlformats.org/officeDocument/2006/relationships/hyperlink" Target="http://finance.yahoo.com/q/op?s=AAPL&amp;strike=130.00" TargetMode="External"/><Relationship Id="rId44" Type="http://schemas.openxmlformats.org/officeDocument/2006/relationships/hyperlink" Target="http://finance.yahoo.com/q?s=AAPL151218C00135000" TargetMode="External"/><Relationship Id="rId60" Type="http://schemas.openxmlformats.org/officeDocument/2006/relationships/hyperlink" Target="http://finance.yahoo.com/q?s=AAPL160219C00110000" TargetMode="External"/><Relationship Id="rId65" Type="http://schemas.openxmlformats.org/officeDocument/2006/relationships/hyperlink" Target="http://finance.yahoo.com/q/op?s=AAPL&amp;strike=125.00" TargetMode="External"/><Relationship Id="rId81" Type="http://schemas.openxmlformats.org/officeDocument/2006/relationships/hyperlink" Target="http://finance.yahoo.com/q/op?s=AAPL&amp;strike=100.00" TargetMode="External"/><Relationship Id="rId86" Type="http://schemas.openxmlformats.org/officeDocument/2006/relationships/hyperlink" Target="http://finance.yahoo.com/q?s=AAPL160415C00110000" TargetMode="External"/><Relationship Id="rId130" Type="http://schemas.openxmlformats.org/officeDocument/2006/relationships/hyperlink" Target="http://finance.yahoo.com/q?s=AAPL160617C00095000" TargetMode="External"/><Relationship Id="rId13" Type="http://schemas.openxmlformats.org/officeDocument/2006/relationships/hyperlink" Target="http://finance.yahoo.com/q/op?s=AAPL&amp;strike=125.00" TargetMode="External"/><Relationship Id="rId18" Type="http://schemas.openxmlformats.org/officeDocument/2006/relationships/hyperlink" Target="http://finance.yahoo.com/q?s=AAPL160617C00135000" TargetMode="External"/><Relationship Id="rId39" Type="http://schemas.openxmlformats.org/officeDocument/2006/relationships/hyperlink" Target="http://finance.yahoo.com/q/op?s=AAPL&amp;strike=125.00" TargetMode="External"/><Relationship Id="rId109" Type="http://schemas.openxmlformats.org/officeDocument/2006/relationships/hyperlink" Target="http://finance.yahoo.com/q/op?s=AAPL&amp;strike=105.00" TargetMode="External"/><Relationship Id="rId34" Type="http://schemas.openxmlformats.org/officeDocument/2006/relationships/hyperlink" Target="http://finance.yahoo.com/q?s=AAPL151218C00110000" TargetMode="External"/><Relationship Id="rId50" Type="http://schemas.openxmlformats.org/officeDocument/2006/relationships/hyperlink" Target="http://finance.yahoo.com/q?s=AAPL151218C00150000" TargetMode="External"/><Relationship Id="rId55" Type="http://schemas.openxmlformats.org/officeDocument/2006/relationships/hyperlink" Target="http://finance.yahoo.com/q/op?s=AAPL&amp;strike=100.00" TargetMode="External"/><Relationship Id="rId76" Type="http://schemas.openxmlformats.org/officeDocument/2006/relationships/hyperlink" Target="http://finance.yahoo.com/q?s=AAPL160219C00150000" TargetMode="External"/><Relationship Id="rId97" Type="http://schemas.openxmlformats.org/officeDocument/2006/relationships/hyperlink" Target="http://finance.yahoo.com/q/op?s=AAPL&amp;strike=140.00" TargetMode="External"/><Relationship Id="rId104" Type="http://schemas.openxmlformats.org/officeDocument/2006/relationships/hyperlink" Target="http://finance.yahoo.com/q?s=AAPL160617C00090000" TargetMode="External"/><Relationship Id="rId120" Type="http://schemas.openxmlformats.org/officeDocument/2006/relationships/hyperlink" Target="http://finance.yahoo.com/q?s=AAPL160617C00130000" TargetMode="External"/><Relationship Id="rId125" Type="http://schemas.openxmlformats.org/officeDocument/2006/relationships/hyperlink" Target="http://finance.yahoo.com/q/op?s=AAPL&amp;strike=145.00" TargetMode="External"/><Relationship Id="rId7" Type="http://schemas.openxmlformats.org/officeDocument/2006/relationships/hyperlink" Target="http://finance.yahoo.com/q/op?s=AAPL&amp;strike=110.00" TargetMode="External"/><Relationship Id="rId71" Type="http://schemas.openxmlformats.org/officeDocument/2006/relationships/hyperlink" Target="http://finance.yahoo.com/q/op?s=AAPL&amp;strike=140.00" TargetMode="External"/><Relationship Id="rId92" Type="http://schemas.openxmlformats.org/officeDocument/2006/relationships/hyperlink" Target="http://finance.yahoo.com/q?s=AAPL160415C00125000" TargetMode="External"/><Relationship Id="rId2" Type="http://schemas.openxmlformats.org/officeDocument/2006/relationships/hyperlink" Target="http://finance.yahoo.com/q/op?s=AAPL&amp;strike=95.00" TargetMode="External"/><Relationship Id="rId29" Type="http://schemas.openxmlformats.org/officeDocument/2006/relationships/hyperlink" Target="http://finance.yahoo.com/q/op?s=AAPL&amp;strike=100.00" TargetMode="External"/><Relationship Id="rId24" Type="http://schemas.openxmlformats.org/officeDocument/2006/relationships/hyperlink" Target="http://finance.yahoo.com/q?s=AAPL160617C00150000" TargetMode="External"/><Relationship Id="rId40" Type="http://schemas.openxmlformats.org/officeDocument/2006/relationships/hyperlink" Target="http://finance.yahoo.com/q?s=AAPL151218C00125000" TargetMode="External"/><Relationship Id="rId45" Type="http://schemas.openxmlformats.org/officeDocument/2006/relationships/hyperlink" Target="http://finance.yahoo.com/q/op?s=AAPL&amp;strike=140.00" TargetMode="External"/><Relationship Id="rId66" Type="http://schemas.openxmlformats.org/officeDocument/2006/relationships/hyperlink" Target="http://finance.yahoo.com/q?s=AAPL160219C00125000" TargetMode="External"/><Relationship Id="rId87" Type="http://schemas.openxmlformats.org/officeDocument/2006/relationships/hyperlink" Target="http://finance.yahoo.com/q/op?s=AAPL&amp;strike=115.00" TargetMode="External"/><Relationship Id="rId110" Type="http://schemas.openxmlformats.org/officeDocument/2006/relationships/hyperlink" Target="http://finance.yahoo.com/q?s=AAPL160617C00105000" TargetMode="External"/><Relationship Id="rId115" Type="http://schemas.openxmlformats.org/officeDocument/2006/relationships/hyperlink" Target="http://finance.yahoo.com/q/op?s=AAPL&amp;strike=120.00" TargetMode="External"/><Relationship Id="rId61" Type="http://schemas.openxmlformats.org/officeDocument/2006/relationships/hyperlink" Target="http://finance.yahoo.com/q/op?s=AAPL&amp;strike=115.00" TargetMode="External"/><Relationship Id="rId82" Type="http://schemas.openxmlformats.org/officeDocument/2006/relationships/hyperlink" Target="http://finance.yahoo.com/q?s=AAPL160415C00100000" TargetMode="External"/><Relationship Id="rId19" Type="http://schemas.openxmlformats.org/officeDocument/2006/relationships/hyperlink" Target="http://finance.yahoo.com/q/op?s=AAPL&amp;strike=140.00" TargetMode="External"/><Relationship Id="rId14" Type="http://schemas.openxmlformats.org/officeDocument/2006/relationships/hyperlink" Target="http://finance.yahoo.com/q?s=AAPL160617C00125000" TargetMode="External"/><Relationship Id="rId30" Type="http://schemas.openxmlformats.org/officeDocument/2006/relationships/hyperlink" Target="http://finance.yahoo.com/q?s=AAPL151218C00100000" TargetMode="External"/><Relationship Id="rId35" Type="http://schemas.openxmlformats.org/officeDocument/2006/relationships/hyperlink" Target="http://finance.yahoo.com/q/op?s=AAPL&amp;strike=115.00" TargetMode="External"/><Relationship Id="rId56" Type="http://schemas.openxmlformats.org/officeDocument/2006/relationships/hyperlink" Target="http://finance.yahoo.com/q?s=AAPL160219C00100000" TargetMode="External"/><Relationship Id="rId77" Type="http://schemas.openxmlformats.org/officeDocument/2006/relationships/hyperlink" Target="http://finance.yahoo.com/q/op?s=AAPL&amp;strike=90.00" TargetMode="External"/><Relationship Id="rId100" Type="http://schemas.openxmlformats.org/officeDocument/2006/relationships/hyperlink" Target="http://finance.yahoo.com/q?s=AAPL160415C00145000" TargetMode="External"/><Relationship Id="rId105" Type="http://schemas.openxmlformats.org/officeDocument/2006/relationships/hyperlink" Target="http://finance.yahoo.com/q/op?s=AAPL&amp;strike=95.00" TargetMode="External"/><Relationship Id="rId126" Type="http://schemas.openxmlformats.org/officeDocument/2006/relationships/hyperlink" Target="http://finance.yahoo.com/q?s=AAPL160617C00145000" TargetMode="External"/><Relationship Id="rId8" Type="http://schemas.openxmlformats.org/officeDocument/2006/relationships/hyperlink" Target="http://finance.yahoo.com/q?s=AAPL160617C00110000" TargetMode="External"/><Relationship Id="rId51" Type="http://schemas.openxmlformats.org/officeDocument/2006/relationships/hyperlink" Target="http://finance.yahoo.com/q/op?s=AAPL&amp;strike=90.00" TargetMode="External"/><Relationship Id="rId72" Type="http://schemas.openxmlformats.org/officeDocument/2006/relationships/hyperlink" Target="http://finance.yahoo.com/q?s=AAPL160219C00140000" TargetMode="External"/><Relationship Id="rId93" Type="http://schemas.openxmlformats.org/officeDocument/2006/relationships/hyperlink" Target="http://finance.yahoo.com/q/op?s=AAPL&amp;strike=130.00" TargetMode="External"/><Relationship Id="rId98" Type="http://schemas.openxmlformats.org/officeDocument/2006/relationships/hyperlink" Target="http://finance.yahoo.com/q?s=AAPL160415C00140000" TargetMode="External"/><Relationship Id="rId121" Type="http://schemas.openxmlformats.org/officeDocument/2006/relationships/hyperlink" Target="http://finance.yahoo.com/q/op?s=AAPL&amp;strike=135.00" TargetMode="External"/><Relationship Id="rId3" Type="http://schemas.openxmlformats.org/officeDocument/2006/relationships/hyperlink" Target="http://finance.yahoo.com/q/op?s=AAPL&amp;strike=100.00" TargetMode="External"/><Relationship Id="rId25" Type="http://schemas.openxmlformats.org/officeDocument/2006/relationships/hyperlink" Target="http://finance.yahoo.com/q/op?s=AAPL&amp;strike=90.00" TargetMode="External"/><Relationship Id="rId46" Type="http://schemas.openxmlformats.org/officeDocument/2006/relationships/hyperlink" Target="http://finance.yahoo.com/q?s=AAPL151218C00140000" TargetMode="External"/><Relationship Id="rId67" Type="http://schemas.openxmlformats.org/officeDocument/2006/relationships/hyperlink" Target="http://finance.yahoo.com/q/op?s=AAPL&amp;strike=130.00" TargetMode="External"/><Relationship Id="rId116" Type="http://schemas.openxmlformats.org/officeDocument/2006/relationships/hyperlink" Target="http://finance.yahoo.com/q?s=AAPL160617C00120000" TargetMode="External"/><Relationship Id="rId20" Type="http://schemas.openxmlformats.org/officeDocument/2006/relationships/hyperlink" Target="http://finance.yahoo.com/q?s=AAPL160617C00140000" TargetMode="External"/><Relationship Id="rId41" Type="http://schemas.openxmlformats.org/officeDocument/2006/relationships/hyperlink" Target="http://finance.yahoo.com/q/op?s=AAPL&amp;strike=130.00" TargetMode="External"/><Relationship Id="rId62" Type="http://schemas.openxmlformats.org/officeDocument/2006/relationships/hyperlink" Target="http://finance.yahoo.com/q?s=AAPL160219C00115000" TargetMode="External"/><Relationship Id="rId83" Type="http://schemas.openxmlformats.org/officeDocument/2006/relationships/hyperlink" Target="http://finance.yahoo.com/q/op?s=AAPL&amp;strike=105.00" TargetMode="External"/><Relationship Id="rId88" Type="http://schemas.openxmlformats.org/officeDocument/2006/relationships/hyperlink" Target="http://finance.yahoo.com/q?s=AAPL160415C00115000" TargetMode="External"/><Relationship Id="rId111" Type="http://schemas.openxmlformats.org/officeDocument/2006/relationships/hyperlink" Target="http://finance.yahoo.com/q/op?s=AAPL&amp;strike=110.00" TargetMode="External"/><Relationship Id="rId15" Type="http://schemas.openxmlformats.org/officeDocument/2006/relationships/hyperlink" Target="http://finance.yahoo.com/q/op?s=AAPL&amp;strike=130.00" TargetMode="External"/><Relationship Id="rId36" Type="http://schemas.openxmlformats.org/officeDocument/2006/relationships/hyperlink" Target="http://finance.yahoo.com/q?s=AAPL151218C00115000" TargetMode="External"/><Relationship Id="rId57" Type="http://schemas.openxmlformats.org/officeDocument/2006/relationships/hyperlink" Target="http://finance.yahoo.com/q/op?s=AAPL&amp;strike=105.00" TargetMode="External"/><Relationship Id="rId106" Type="http://schemas.openxmlformats.org/officeDocument/2006/relationships/hyperlink" Target="http://finance.yahoo.com/q?s=AAPL160617C00095000" TargetMode="External"/><Relationship Id="rId127" Type="http://schemas.openxmlformats.org/officeDocument/2006/relationships/hyperlink" Target="http://finance.yahoo.com/q/op?s=AAPL&amp;strike=150.00" TargetMode="External"/><Relationship Id="rId10" Type="http://schemas.openxmlformats.org/officeDocument/2006/relationships/hyperlink" Target="http://finance.yahoo.com/q?s=AAPL160617C00115000" TargetMode="External"/><Relationship Id="rId31" Type="http://schemas.openxmlformats.org/officeDocument/2006/relationships/hyperlink" Target="http://finance.yahoo.com/q/op?s=AAPL&amp;strike=105.00" TargetMode="External"/><Relationship Id="rId52" Type="http://schemas.openxmlformats.org/officeDocument/2006/relationships/hyperlink" Target="http://finance.yahoo.com/q?s=AAPL160219C00090000" TargetMode="External"/><Relationship Id="rId73" Type="http://schemas.openxmlformats.org/officeDocument/2006/relationships/hyperlink" Target="http://finance.yahoo.com/q/op?s=AAPL&amp;strike=145.00" TargetMode="External"/><Relationship Id="rId78" Type="http://schemas.openxmlformats.org/officeDocument/2006/relationships/hyperlink" Target="http://finance.yahoo.com/q?s=AAPL160415C00090000" TargetMode="External"/><Relationship Id="rId94" Type="http://schemas.openxmlformats.org/officeDocument/2006/relationships/hyperlink" Target="http://finance.yahoo.com/q?s=AAPL160415C00130000" TargetMode="External"/><Relationship Id="rId99" Type="http://schemas.openxmlformats.org/officeDocument/2006/relationships/hyperlink" Target="http://finance.yahoo.com/q/op?s=AAPL&amp;strike=145.00" TargetMode="External"/><Relationship Id="rId101" Type="http://schemas.openxmlformats.org/officeDocument/2006/relationships/hyperlink" Target="http://finance.yahoo.com/q/op?s=AAPL&amp;strike=150.00" TargetMode="External"/><Relationship Id="rId122" Type="http://schemas.openxmlformats.org/officeDocument/2006/relationships/hyperlink" Target="http://finance.yahoo.com/q?s=AAPL160617C00135000" TargetMode="External"/><Relationship Id="rId4" Type="http://schemas.openxmlformats.org/officeDocument/2006/relationships/hyperlink" Target="http://finance.yahoo.com/q?s=AAPL160617C00100000" TargetMode="External"/><Relationship Id="rId9" Type="http://schemas.openxmlformats.org/officeDocument/2006/relationships/hyperlink" Target="http://finance.yahoo.com/q/op?s=AAPL&amp;strike=115.00" TargetMode="External"/><Relationship Id="rId26" Type="http://schemas.openxmlformats.org/officeDocument/2006/relationships/hyperlink" Target="http://finance.yahoo.com/q?s=AAPL151218C0009000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6"/>
  <sheetViews>
    <sheetView workbookViewId="0">
      <selection activeCell="D1" sqref="D1:E1"/>
    </sheetView>
  </sheetViews>
  <sheetFormatPr defaultColWidth="11" defaultRowHeight="15.6"/>
  <cols>
    <col min="2" max="2" width="22.09765625" customWidth="1"/>
    <col min="7" max="7" width="15.3984375" customWidth="1"/>
  </cols>
  <sheetData>
    <row r="1" spans="1:11">
      <c r="B1" s="9" t="s">
        <v>0</v>
      </c>
      <c r="D1" s="10" t="s">
        <v>1</v>
      </c>
      <c r="E1" s="10">
        <v>119.08</v>
      </c>
    </row>
    <row r="2" spans="1:11" ht="16.8">
      <c r="A2" s="15" t="s">
        <v>2</v>
      </c>
      <c r="B2" s="16"/>
      <c r="C2" s="16"/>
      <c r="D2" s="16"/>
      <c r="E2" s="16"/>
      <c r="F2" s="16"/>
      <c r="G2" s="16"/>
      <c r="H2" s="16"/>
      <c r="I2" s="16"/>
      <c r="J2" s="16"/>
      <c r="K2" s="10" t="s">
        <v>3</v>
      </c>
    </row>
    <row r="3" spans="1:11" ht="19.2">
      <c r="A3" s="1" t="s">
        <v>4</v>
      </c>
      <c r="B3" s="17" t="s">
        <v>5</v>
      </c>
      <c r="C3" s="17" t="s">
        <v>6</v>
      </c>
      <c r="D3" s="17" t="s">
        <v>7</v>
      </c>
      <c r="E3" s="17" t="s">
        <v>8</v>
      </c>
      <c r="F3" s="17" t="s">
        <v>9</v>
      </c>
      <c r="G3" s="17" t="s">
        <v>10</v>
      </c>
      <c r="H3" s="17" t="s">
        <v>11</v>
      </c>
      <c r="I3" s="17" t="s">
        <v>12</v>
      </c>
      <c r="J3" s="17" t="s">
        <v>13</v>
      </c>
    </row>
    <row r="4" spans="1:11">
      <c r="A4" s="2" t="s">
        <v>14</v>
      </c>
      <c r="B4" s="17"/>
      <c r="C4" s="17"/>
      <c r="D4" s="17"/>
      <c r="E4" s="17"/>
      <c r="F4" s="17"/>
      <c r="G4" s="17"/>
      <c r="H4" s="17"/>
      <c r="I4" s="17"/>
      <c r="J4" s="17"/>
    </row>
    <row r="5" spans="1:11">
      <c r="A5" s="3" t="s">
        <v>15</v>
      </c>
      <c r="B5" s="17"/>
      <c r="C5" s="17"/>
      <c r="D5" s="17"/>
      <c r="E5" s="17"/>
      <c r="F5" s="17"/>
      <c r="G5" s="17"/>
      <c r="H5" s="17"/>
      <c r="I5" s="17"/>
      <c r="J5" s="17"/>
    </row>
    <row r="6" spans="1:11" ht="18.600000000000001">
      <c r="A6" s="4">
        <v>55</v>
      </c>
      <c r="B6" s="4" t="s">
        <v>16</v>
      </c>
      <c r="C6" s="5">
        <v>59.4</v>
      </c>
      <c r="D6" s="5">
        <v>63.6</v>
      </c>
      <c r="E6" s="5">
        <v>64.45</v>
      </c>
      <c r="F6" s="5">
        <v>0</v>
      </c>
      <c r="G6" s="6">
        <v>0</v>
      </c>
      <c r="H6" s="5">
        <v>40</v>
      </c>
      <c r="I6" s="5">
        <v>52</v>
      </c>
      <c r="J6" s="6">
        <v>0.50439999999999996</v>
      </c>
    </row>
    <row r="7" spans="1:11" ht="18.600000000000001">
      <c r="A7" s="4">
        <v>60</v>
      </c>
      <c r="B7" s="4" t="s">
        <v>17</v>
      </c>
      <c r="C7" s="5">
        <v>53.7</v>
      </c>
      <c r="D7" s="5">
        <v>58.6</v>
      </c>
      <c r="E7" s="5">
        <v>59.45</v>
      </c>
      <c r="F7" s="5">
        <v>0</v>
      </c>
      <c r="G7" s="6">
        <v>0</v>
      </c>
      <c r="H7" s="5">
        <v>7</v>
      </c>
      <c r="I7" s="5">
        <v>94</v>
      </c>
      <c r="J7" s="6">
        <v>0.4531</v>
      </c>
    </row>
    <row r="8" spans="1:11" ht="18.600000000000001">
      <c r="A8" s="4">
        <v>65</v>
      </c>
      <c r="B8" s="4" t="s">
        <v>18</v>
      </c>
      <c r="C8" s="5">
        <v>50.45</v>
      </c>
      <c r="D8" s="5">
        <v>53.8</v>
      </c>
      <c r="E8" s="5">
        <v>54.5</v>
      </c>
      <c r="F8" s="5">
        <v>0</v>
      </c>
      <c r="G8" s="6">
        <v>0</v>
      </c>
      <c r="H8" s="5">
        <v>0</v>
      </c>
      <c r="I8" s="5">
        <v>6</v>
      </c>
      <c r="J8" s="6">
        <v>0.4153</v>
      </c>
    </row>
    <row r="9" spans="1:11" ht="18.600000000000001">
      <c r="A9" s="4">
        <v>70</v>
      </c>
      <c r="B9" s="4" t="s">
        <v>19</v>
      </c>
      <c r="C9" s="5">
        <v>41.7</v>
      </c>
      <c r="D9" s="5">
        <v>48.45</v>
      </c>
      <c r="E9" s="5">
        <v>49.75</v>
      </c>
      <c r="F9" s="5">
        <v>0</v>
      </c>
      <c r="G9" s="6">
        <v>0</v>
      </c>
      <c r="H9" s="5">
        <v>30</v>
      </c>
      <c r="I9" s="5">
        <v>152</v>
      </c>
      <c r="J9" s="6">
        <v>0.40649999999999997</v>
      </c>
    </row>
    <row r="10" spans="1:11" ht="18.600000000000001">
      <c r="A10" s="4">
        <v>75</v>
      </c>
      <c r="B10" s="4" t="s">
        <v>20</v>
      </c>
      <c r="C10" s="5">
        <v>43.5</v>
      </c>
      <c r="D10" s="5">
        <v>44</v>
      </c>
      <c r="E10" s="5">
        <v>44.45</v>
      </c>
      <c r="F10" s="5">
        <v>5.85</v>
      </c>
      <c r="G10" s="7">
        <v>0.15540000000000001</v>
      </c>
      <c r="H10" s="5">
        <v>2</v>
      </c>
      <c r="I10" s="5">
        <v>153</v>
      </c>
      <c r="J10" s="6">
        <v>0.32079999999999997</v>
      </c>
    </row>
    <row r="11" spans="1:11" ht="18.600000000000001">
      <c r="A11" s="4">
        <v>80</v>
      </c>
      <c r="B11" s="4" t="s">
        <v>21</v>
      </c>
      <c r="C11" s="5">
        <v>39.200000000000003</v>
      </c>
      <c r="D11" s="5">
        <v>39.15</v>
      </c>
      <c r="E11" s="5">
        <v>39.700000000000003</v>
      </c>
      <c r="F11" s="5">
        <v>3.2</v>
      </c>
      <c r="G11" s="7">
        <v>8.8900000000000007E-2</v>
      </c>
      <c r="H11" s="5">
        <v>35</v>
      </c>
      <c r="I11" s="5">
        <v>2725</v>
      </c>
      <c r="J11" s="6">
        <v>0.31319999999999998</v>
      </c>
    </row>
    <row r="12" spans="1:11" ht="18.600000000000001">
      <c r="A12" s="4">
        <v>85</v>
      </c>
      <c r="B12" s="4" t="s">
        <v>22</v>
      </c>
      <c r="C12" s="5">
        <v>31.16</v>
      </c>
      <c r="D12" s="5">
        <v>34.6</v>
      </c>
      <c r="E12" s="5">
        <v>35.15</v>
      </c>
      <c r="F12" s="5">
        <v>0</v>
      </c>
      <c r="G12" s="6">
        <v>0</v>
      </c>
      <c r="H12" s="5">
        <v>1</v>
      </c>
      <c r="I12" s="5">
        <v>113</v>
      </c>
      <c r="J12" s="6">
        <v>0.31190000000000001</v>
      </c>
    </row>
    <row r="13" spans="1:11" ht="18.600000000000001">
      <c r="A13" s="4">
        <v>90</v>
      </c>
      <c r="B13" s="4" t="s">
        <v>23</v>
      </c>
      <c r="C13" s="5">
        <v>30.4</v>
      </c>
      <c r="D13" s="5">
        <v>30.15</v>
      </c>
      <c r="E13" s="5">
        <v>30.65</v>
      </c>
      <c r="F13" s="5">
        <v>4.0599999999999996</v>
      </c>
      <c r="G13" s="7">
        <v>0.15409999999999999</v>
      </c>
      <c r="H13" s="5">
        <v>30</v>
      </c>
      <c r="I13" s="5">
        <v>706</v>
      </c>
      <c r="J13" s="6">
        <v>0.30130000000000001</v>
      </c>
    </row>
    <row r="14" spans="1:11" ht="18.600000000000001">
      <c r="A14" s="4">
        <v>95</v>
      </c>
      <c r="B14" s="4" t="s">
        <v>24</v>
      </c>
      <c r="C14" s="5">
        <v>26.2</v>
      </c>
      <c r="D14" s="5">
        <v>25.9</v>
      </c>
      <c r="E14" s="5">
        <v>26.4</v>
      </c>
      <c r="F14" s="5">
        <v>4.05</v>
      </c>
      <c r="G14" s="7">
        <v>0.18279999999999999</v>
      </c>
      <c r="H14" s="5">
        <v>25</v>
      </c>
      <c r="I14" s="5">
        <v>656</v>
      </c>
      <c r="J14" s="6">
        <v>0.29430000000000001</v>
      </c>
    </row>
    <row r="15" spans="1:11" ht="18.600000000000001">
      <c r="A15" s="4">
        <v>100</v>
      </c>
      <c r="B15" s="4" t="s">
        <v>25</v>
      </c>
      <c r="C15" s="5">
        <v>22</v>
      </c>
      <c r="D15" s="5">
        <v>21.95</v>
      </c>
      <c r="E15" s="5">
        <v>22.4</v>
      </c>
      <c r="F15" s="5">
        <v>2.7</v>
      </c>
      <c r="G15" s="7">
        <v>0.1399</v>
      </c>
      <c r="H15" s="5">
        <v>416</v>
      </c>
      <c r="I15" s="5">
        <v>5761</v>
      </c>
      <c r="J15" s="6">
        <v>0.28749999999999998</v>
      </c>
    </row>
    <row r="16" spans="1:11" ht="18.600000000000001">
      <c r="A16" s="4">
        <v>105</v>
      </c>
      <c r="B16" s="4" t="s">
        <v>26</v>
      </c>
      <c r="C16" s="5">
        <v>18.260000000000002</v>
      </c>
      <c r="D16" s="5">
        <v>18.25</v>
      </c>
      <c r="E16" s="5">
        <v>18.649999999999999</v>
      </c>
      <c r="F16" s="5">
        <v>2.86</v>
      </c>
      <c r="G16" s="7">
        <v>0.1857</v>
      </c>
      <c r="H16" s="5">
        <v>36</v>
      </c>
      <c r="I16" s="5">
        <v>2762</v>
      </c>
      <c r="J16" s="6">
        <v>0.2797</v>
      </c>
    </row>
    <row r="17" spans="1:10" ht="18.600000000000001">
      <c r="A17" s="4">
        <v>110</v>
      </c>
      <c r="B17" s="4" t="s">
        <v>27</v>
      </c>
      <c r="C17" s="5">
        <v>15</v>
      </c>
      <c r="D17" s="5">
        <v>14.95</v>
      </c>
      <c r="E17" s="5">
        <v>15.3</v>
      </c>
      <c r="F17" s="5">
        <v>2.33</v>
      </c>
      <c r="G17" s="7">
        <v>0.18390000000000001</v>
      </c>
      <c r="H17" s="5">
        <v>283</v>
      </c>
      <c r="I17" s="5">
        <v>20042</v>
      </c>
      <c r="J17" s="6">
        <v>0.2742</v>
      </c>
    </row>
    <row r="18" spans="1:10" ht="18.600000000000001">
      <c r="A18" s="4">
        <v>115</v>
      </c>
      <c r="B18" s="4" t="s">
        <v>28</v>
      </c>
      <c r="C18" s="5">
        <v>11.92</v>
      </c>
      <c r="D18" s="5">
        <v>11.95</v>
      </c>
      <c r="E18" s="5">
        <v>12.15</v>
      </c>
      <c r="F18" s="5">
        <v>1.85</v>
      </c>
      <c r="G18" s="7">
        <v>0.1837</v>
      </c>
      <c r="H18" s="5">
        <v>431</v>
      </c>
      <c r="I18" s="5">
        <v>7453</v>
      </c>
      <c r="J18" s="6">
        <v>0.26450000000000001</v>
      </c>
    </row>
    <row r="19" spans="1:10" ht="18.600000000000001">
      <c r="A19" s="4">
        <v>120</v>
      </c>
      <c r="B19" s="4" t="s">
        <v>29</v>
      </c>
      <c r="C19" s="5">
        <v>9.36</v>
      </c>
      <c r="D19" s="5">
        <v>9.3000000000000007</v>
      </c>
      <c r="E19" s="5">
        <v>9.5500000000000007</v>
      </c>
      <c r="F19" s="5">
        <v>1.76</v>
      </c>
      <c r="G19" s="7">
        <v>0.2316</v>
      </c>
      <c r="H19" s="5">
        <v>216</v>
      </c>
      <c r="I19" s="5">
        <v>9433</v>
      </c>
      <c r="J19" s="6">
        <v>0.2596</v>
      </c>
    </row>
    <row r="20" spans="1:10" ht="18.600000000000001">
      <c r="A20" s="4">
        <v>125</v>
      </c>
      <c r="B20" s="4" t="s">
        <v>30</v>
      </c>
      <c r="C20" s="5">
        <v>7.15</v>
      </c>
      <c r="D20" s="5">
        <v>7.05</v>
      </c>
      <c r="E20" s="5">
        <v>7.3</v>
      </c>
      <c r="F20" s="5">
        <v>1.45</v>
      </c>
      <c r="G20" s="7">
        <v>0.25440000000000002</v>
      </c>
      <c r="H20" s="5">
        <v>274</v>
      </c>
      <c r="I20" s="5">
        <v>8404</v>
      </c>
      <c r="J20" s="6">
        <v>0.25380000000000003</v>
      </c>
    </row>
    <row r="21" spans="1:10" ht="18.600000000000001">
      <c r="A21" s="4">
        <v>130</v>
      </c>
      <c r="B21" s="4" t="s">
        <v>31</v>
      </c>
      <c r="C21" s="5">
        <v>5.33</v>
      </c>
      <c r="D21" s="5">
        <v>5.2</v>
      </c>
      <c r="E21" s="5">
        <v>5.45</v>
      </c>
      <c r="F21" s="5">
        <v>1.22</v>
      </c>
      <c r="G21" s="7">
        <v>0.29680000000000001</v>
      </c>
      <c r="H21" s="5">
        <v>227</v>
      </c>
      <c r="I21" s="5">
        <v>8809</v>
      </c>
      <c r="J21" s="6">
        <v>0.24859999999999999</v>
      </c>
    </row>
    <row r="22" spans="1:10" ht="18.600000000000001">
      <c r="A22" s="4">
        <v>135</v>
      </c>
      <c r="B22" s="4" t="s">
        <v>32</v>
      </c>
      <c r="C22" s="5">
        <v>3.85</v>
      </c>
      <c r="D22" s="5">
        <v>3.75</v>
      </c>
      <c r="E22" s="5">
        <v>3.9</v>
      </c>
      <c r="F22" s="5">
        <v>0.95</v>
      </c>
      <c r="G22" s="7">
        <v>0.3276</v>
      </c>
      <c r="H22" s="5">
        <v>494</v>
      </c>
      <c r="I22" s="5">
        <v>7681</v>
      </c>
      <c r="J22" s="6">
        <v>0.2417</v>
      </c>
    </row>
    <row r="23" spans="1:10" ht="18.600000000000001">
      <c r="A23" s="4">
        <v>140</v>
      </c>
      <c r="B23" s="4" t="s">
        <v>33</v>
      </c>
      <c r="C23" s="5">
        <v>2.77</v>
      </c>
      <c r="D23" s="5">
        <v>2.67</v>
      </c>
      <c r="E23" s="5">
        <v>2.82</v>
      </c>
      <c r="F23" s="5">
        <v>0.81</v>
      </c>
      <c r="G23" s="7">
        <v>0.4133</v>
      </c>
      <c r="H23" s="5">
        <v>683</v>
      </c>
      <c r="I23" s="5">
        <v>47962</v>
      </c>
      <c r="J23" s="6">
        <v>0.23949999999999999</v>
      </c>
    </row>
    <row r="24" spans="1:10" ht="18.600000000000001">
      <c r="A24" s="4">
        <v>145</v>
      </c>
      <c r="B24" s="4" t="s">
        <v>34</v>
      </c>
      <c r="C24" s="5">
        <v>1.83</v>
      </c>
      <c r="D24" s="5">
        <v>1.82</v>
      </c>
      <c r="E24" s="5">
        <v>1.99</v>
      </c>
      <c r="F24" s="5">
        <v>0.46</v>
      </c>
      <c r="G24" s="7">
        <v>0.33579999999999999</v>
      </c>
      <c r="H24" s="5">
        <v>60</v>
      </c>
      <c r="I24" s="5">
        <v>4920</v>
      </c>
      <c r="J24" s="6">
        <v>0.23699999999999999</v>
      </c>
    </row>
    <row r="25" spans="1:10" ht="18.600000000000001">
      <c r="A25" s="4">
        <v>150</v>
      </c>
      <c r="B25" s="4" t="s">
        <v>35</v>
      </c>
      <c r="C25" s="5">
        <v>1.3</v>
      </c>
      <c r="D25" s="5">
        <v>1.24</v>
      </c>
      <c r="E25" s="5">
        <v>1.33</v>
      </c>
      <c r="F25" s="5">
        <v>0.31</v>
      </c>
      <c r="G25" s="7">
        <v>0.31309999999999999</v>
      </c>
      <c r="H25" s="5">
        <v>233</v>
      </c>
      <c r="I25" s="5">
        <v>14062</v>
      </c>
      <c r="J25" s="6">
        <v>0.2324</v>
      </c>
    </row>
    <row r="26" spans="1:10" ht="18.600000000000001">
      <c r="A26" s="4">
        <v>155</v>
      </c>
      <c r="B26" s="4" t="s">
        <v>36</v>
      </c>
      <c r="C26" s="5">
        <v>0.9</v>
      </c>
      <c r="D26" s="5">
        <v>0.84</v>
      </c>
      <c r="E26" s="5">
        <v>1</v>
      </c>
      <c r="F26" s="5">
        <v>0.23</v>
      </c>
      <c r="G26" s="7">
        <v>0.34329999999999999</v>
      </c>
      <c r="H26" s="5">
        <v>19</v>
      </c>
      <c r="I26" s="5">
        <v>5416</v>
      </c>
      <c r="J26" s="6">
        <v>0.2366</v>
      </c>
    </row>
    <row r="27" spans="1:10" ht="18.600000000000001">
      <c r="A27" s="4">
        <v>160</v>
      </c>
      <c r="B27" s="4" t="s">
        <v>37</v>
      </c>
      <c r="C27" s="5">
        <v>0.63</v>
      </c>
      <c r="D27" s="5">
        <v>0.56000000000000005</v>
      </c>
      <c r="E27" s="5">
        <v>0.71</v>
      </c>
      <c r="F27" s="5">
        <v>0.18</v>
      </c>
      <c r="G27" s="7">
        <v>0.4</v>
      </c>
      <c r="H27" s="5">
        <v>30</v>
      </c>
      <c r="I27" s="5">
        <v>2125</v>
      </c>
      <c r="J27" s="6">
        <v>0.23730000000000001</v>
      </c>
    </row>
    <row r="28" spans="1:10" ht="18.600000000000001">
      <c r="A28" s="4">
        <v>165</v>
      </c>
      <c r="B28" s="4" t="s">
        <v>38</v>
      </c>
      <c r="C28" s="5">
        <v>0.46</v>
      </c>
      <c r="D28" s="5">
        <v>0.37</v>
      </c>
      <c r="E28" s="5">
        <v>0.5</v>
      </c>
      <c r="F28" s="5">
        <v>0.1</v>
      </c>
      <c r="G28" s="7">
        <v>0.27779999999999999</v>
      </c>
      <c r="H28" s="5">
        <v>1</v>
      </c>
      <c r="I28" s="5">
        <v>938</v>
      </c>
      <c r="J28" s="6">
        <v>0.23799999999999999</v>
      </c>
    </row>
    <row r="29" spans="1:10" ht="18.600000000000001">
      <c r="A29" s="4">
        <v>170</v>
      </c>
      <c r="B29" s="4" t="s">
        <v>39</v>
      </c>
      <c r="C29" s="5">
        <v>0.24</v>
      </c>
      <c r="D29" s="5">
        <v>0.26</v>
      </c>
      <c r="E29" s="5">
        <v>0.4</v>
      </c>
      <c r="F29" s="5">
        <v>-0.01</v>
      </c>
      <c r="G29" s="8">
        <v>-0.04</v>
      </c>
      <c r="H29" s="5">
        <v>5</v>
      </c>
      <c r="I29" s="5">
        <v>1206</v>
      </c>
      <c r="J29" s="6">
        <v>0.24440000000000001</v>
      </c>
    </row>
    <row r="30" spans="1:10" ht="18.600000000000001">
      <c r="A30" s="4">
        <v>175</v>
      </c>
      <c r="B30" s="4" t="s">
        <v>40</v>
      </c>
      <c r="C30" s="5">
        <v>0.2</v>
      </c>
      <c r="D30" s="5">
        <v>0.18</v>
      </c>
      <c r="E30" s="5">
        <v>0.28000000000000003</v>
      </c>
      <c r="F30" s="5">
        <v>0</v>
      </c>
      <c r="G30" s="6">
        <v>0</v>
      </c>
      <c r="H30" s="5">
        <v>30</v>
      </c>
      <c r="I30" s="5">
        <v>1030</v>
      </c>
      <c r="J30" s="6">
        <v>0.24460000000000001</v>
      </c>
    </row>
    <row r="31" spans="1:10" ht="18.600000000000001">
      <c r="A31" s="4">
        <v>180</v>
      </c>
      <c r="B31" s="4" t="s">
        <v>41</v>
      </c>
      <c r="C31" s="5">
        <v>0.15</v>
      </c>
      <c r="D31" s="5">
        <v>0.13</v>
      </c>
      <c r="E31" s="5">
        <v>0.22</v>
      </c>
      <c r="F31" s="5">
        <v>0</v>
      </c>
      <c r="G31" s="6">
        <v>0</v>
      </c>
      <c r="H31" s="5">
        <v>50</v>
      </c>
      <c r="I31" s="5">
        <v>2009</v>
      </c>
      <c r="J31" s="6">
        <v>0.2495</v>
      </c>
    </row>
    <row r="32" spans="1:10" ht="18.600000000000001">
      <c r="A32" s="4">
        <v>185</v>
      </c>
      <c r="B32" s="4" t="s">
        <v>42</v>
      </c>
      <c r="C32" s="5">
        <v>0.15</v>
      </c>
      <c r="D32" s="5">
        <v>0.1</v>
      </c>
      <c r="E32" s="5">
        <v>0.17</v>
      </c>
      <c r="F32" s="5">
        <v>0.03</v>
      </c>
      <c r="G32" s="7">
        <v>0.25</v>
      </c>
      <c r="H32" s="5">
        <v>31</v>
      </c>
      <c r="I32" s="5">
        <v>8127</v>
      </c>
      <c r="J32" s="6">
        <v>0.25290000000000001</v>
      </c>
    </row>
    <row r="33" spans="1:10" ht="18.600000000000001">
      <c r="A33" s="4">
        <v>190</v>
      </c>
      <c r="B33" s="4" t="s">
        <v>43</v>
      </c>
      <c r="C33" s="5">
        <v>0.11</v>
      </c>
      <c r="D33" s="5">
        <v>7.0000000000000007E-2</v>
      </c>
      <c r="E33" s="5">
        <v>0.14000000000000001</v>
      </c>
      <c r="F33" s="5">
        <v>0</v>
      </c>
      <c r="G33" s="6">
        <v>0</v>
      </c>
      <c r="H33" s="5">
        <v>53</v>
      </c>
      <c r="I33" s="5">
        <v>1245</v>
      </c>
      <c r="J33" s="6">
        <v>0.25879999999999997</v>
      </c>
    </row>
    <row r="34" spans="1:10" ht="18.600000000000001">
      <c r="A34" s="4">
        <v>195</v>
      </c>
      <c r="B34" s="4" t="s">
        <v>44</v>
      </c>
      <c r="C34" s="5">
        <v>0.08</v>
      </c>
      <c r="D34" s="5">
        <v>7.0000000000000007E-2</v>
      </c>
      <c r="E34" s="5">
        <v>0.12</v>
      </c>
      <c r="F34" s="5">
        <v>-0.01</v>
      </c>
      <c r="G34" s="8">
        <v>-0.1111</v>
      </c>
      <c r="H34" s="5">
        <v>5</v>
      </c>
      <c r="I34" s="5">
        <v>9063</v>
      </c>
      <c r="J34" s="6">
        <v>0.2651</v>
      </c>
    </row>
    <row r="35" spans="1:10" ht="16.8">
      <c r="A35" s="15" t="s">
        <v>45</v>
      </c>
      <c r="B35" s="16"/>
      <c r="C35" s="16"/>
      <c r="D35" s="16"/>
      <c r="E35" s="16"/>
      <c r="F35" s="16"/>
      <c r="G35" s="16"/>
      <c r="H35" s="16"/>
      <c r="I35" s="16"/>
      <c r="J35" s="16"/>
    </row>
    <row r="36" spans="1:10" ht="19.2">
      <c r="A36" s="1" t="s">
        <v>4</v>
      </c>
      <c r="B36" s="17" t="s">
        <v>5</v>
      </c>
      <c r="C36" s="17" t="s">
        <v>6</v>
      </c>
      <c r="D36" s="17" t="s">
        <v>7</v>
      </c>
      <c r="E36" s="17" t="s">
        <v>8</v>
      </c>
      <c r="F36" s="17" t="s">
        <v>9</v>
      </c>
      <c r="G36" s="17" t="s">
        <v>10</v>
      </c>
      <c r="H36" s="17" t="s">
        <v>11</v>
      </c>
      <c r="I36" s="17" t="s">
        <v>12</v>
      </c>
      <c r="J36" s="17" t="s">
        <v>13</v>
      </c>
    </row>
    <row r="37" spans="1:10">
      <c r="A37" s="2" t="s">
        <v>14</v>
      </c>
      <c r="B37" s="17"/>
      <c r="C37" s="17"/>
      <c r="D37" s="17"/>
      <c r="E37" s="17"/>
      <c r="F37" s="17"/>
      <c r="G37" s="17"/>
      <c r="H37" s="17"/>
      <c r="I37" s="17"/>
      <c r="J37" s="17"/>
    </row>
    <row r="38" spans="1:10">
      <c r="A38" s="3" t="s">
        <v>15</v>
      </c>
      <c r="B38" s="17"/>
      <c r="C38" s="17"/>
      <c r="D38" s="17"/>
      <c r="E38" s="17"/>
      <c r="F38" s="17"/>
      <c r="G38" s="17"/>
      <c r="H38" s="17"/>
      <c r="I38" s="17"/>
      <c r="J38" s="17"/>
    </row>
    <row r="39" spans="1:10" ht="18.600000000000001">
      <c r="A39" s="4">
        <v>55</v>
      </c>
      <c r="B39" s="4" t="s">
        <v>46</v>
      </c>
      <c r="C39" s="5">
        <v>0.2</v>
      </c>
      <c r="D39" s="5">
        <v>0.17</v>
      </c>
      <c r="E39" s="5">
        <v>0.27</v>
      </c>
      <c r="F39" s="5">
        <v>-0.08</v>
      </c>
      <c r="G39" s="8">
        <v>-0.28570000000000001</v>
      </c>
      <c r="H39" s="5">
        <v>5</v>
      </c>
      <c r="I39" s="5">
        <v>1438</v>
      </c>
      <c r="J39" s="6">
        <v>0.47949999999999998</v>
      </c>
    </row>
    <row r="40" spans="1:10" ht="18.600000000000001">
      <c r="A40" s="4">
        <v>60</v>
      </c>
      <c r="B40" s="4" t="s">
        <v>47</v>
      </c>
      <c r="C40" s="5">
        <v>0.53</v>
      </c>
      <c r="D40" s="5">
        <v>0.3</v>
      </c>
      <c r="E40" s="5">
        <v>0.4</v>
      </c>
      <c r="F40" s="5">
        <v>0</v>
      </c>
      <c r="G40" s="6">
        <v>0</v>
      </c>
      <c r="H40" s="5">
        <v>60</v>
      </c>
      <c r="I40" s="5">
        <v>2857</v>
      </c>
      <c r="J40" s="6">
        <v>0.4602</v>
      </c>
    </row>
    <row r="41" spans="1:10" ht="18.600000000000001">
      <c r="A41" s="4">
        <v>65</v>
      </c>
      <c r="B41" s="4" t="s">
        <v>48</v>
      </c>
      <c r="C41" s="5">
        <v>0.44</v>
      </c>
      <c r="D41" s="5">
        <v>0.37</v>
      </c>
      <c r="E41" s="5">
        <v>0.52</v>
      </c>
      <c r="F41" s="5">
        <v>-0.13</v>
      </c>
      <c r="G41" s="8">
        <v>-0.2281</v>
      </c>
      <c r="H41" s="5">
        <v>20</v>
      </c>
      <c r="I41" s="5">
        <v>834</v>
      </c>
      <c r="J41" s="6">
        <v>0.43309999999999998</v>
      </c>
    </row>
    <row r="42" spans="1:10" ht="18.600000000000001">
      <c r="A42" s="4">
        <v>70</v>
      </c>
      <c r="B42" s="4" t="s">
        <v>49</v>
      </c>
      <c r="C42" s="5">
        <v>0.79</v>
      </c>
      <c r="D42" s="5">
        <v>0.54</v>
      </c>
      <c r="E42" s="5">
        <v>0.69</v>
      </c>
      <c r="F42" s="5">
        <v>0</v>
      </c>
      <c r="G42" s="6">
        <v>0</v>
      </c>
      <c r="H42" s="5">
        <v>30</v>
      </c>
      <c r="I42" s="5">
        <v>939</v>
      </c>
      <c r="J42" s="6">
        <v>0.40939999999999999</v>
      </c>
    </row>
    <row r="43" spans="1:10" ht="18.600000000000001">
      <c r="A43" s="4">
        <v>75</v>
      </c>
      <c r="B43" s="4" t="s">
        <v>50</v>
      </c>
      <c r="C43" s="5">
        <v>0.9</v>
      </c>
      <c r="D43" s="5">
        <v>0.77</v>
      </c>
      <c r="E43" s="5">
        <v>0.91</v>
      </c>
      <c r="F43" s="5">
        <v>-0.18</v>
      </c>
      <c r="G43" s="8">
        <v>-0.16669999999999999</v>
      </c>
      <c r="H43" s="5">
        <v>11</v>
      </c>
      <c r="I43" s="5">
        <v>2070</v>
      </c>
      <c r="J43" s="6">
        <v>0.38729999999999998</v>
      </c>
    </row>
    <row r="44" spans="1:10" ht="18.600000000000001">
      <c r="A44" s="4">
        <v>80</v>
      </c>
      <c r="B44" s="4" t="s">
        <v>51</v>
      </c>
      <c r="C44" s="5">
        <v>1.1299999999999999</v>
      </c>
      <c r="D44" s="5">
        <v>1.07</v>
      </c>
      <c r="E44" s="5">
        <v>1.23</v>
      </c>
      <c r="F44" s="5">
        <v>-0.33</v>
      </c>
      <c r="G44" s="8">
        <v>-0.22600000000000001</v>
      </c>
      <c r="H44" s="5">
        <v>22</v>
      </c>
      <c r="I44" s="5">
        <v>1370</v>
      </c>
      <c r="J44" s="6">
        <v>0.36909999999999998</v>
      </c>
    </row>
    <row r="45" spans="1:10" ht="18.600000000000001">
      <c r="A45" s="4">
        <v>85</v>
      </c>
      <c r="B45" s="4" t="s">
        <v>52</v>
      </c>
      <c r="C45" s="5">
        <v>1.52</v>
      </c>
      <c r="D45" s="5">
        <v>1.49</v>
      </c>
      <c r="E45" s="5">
        <v>1.61</v>
      </c>
      <c r="F45" s="5">
        <v>-0.48</v>
      </c>
      <c r="G45" s="8">
        <v>-0.24</v>
      </c>
      <c r="H45" s="5">
        <v>153</v>
      </c>
      <c r="I45" s="5">
        <v>1334</v>
      </c>
      <c r="J45" s="6">
        <v>0.34949999999999998</v>
      </c>
    </row>
    <row r="46" spans="1:10" ht="18.600000000000001">
      <c r="A46" s="4">
        <v>90</v>
      </c>
      <c r="B46" s="4" t="s">
        <v>53</v>
      </c>
      <c r="C46" s="5">
        <v>2.15</v>
      </c>
      <c r="D46" s="5">
        <v>2.06</v>
      </c>
      <c r="E46" s="5">
        <v>2.21</v>
      </c>
      <c r="F46" s="5">
        <v>-0.53</v>
      </c>
      <c r="G46" s="8">
        <v>-0.1978</v>
      </c>
      <c r="H46" s="5">
        <v>269</v>
      </c>
      <c r="I46" s="5">
        <v>3179</v>
      </c>
      <c r="J46" s="6">
        <v>0.33639999999999998</v>
      </c>
    </row>
    <row r="47" spans="1:10" ht="18.600000000000001">
      <c r="A47" s="4">
        <v>95</v>
      </c>
      <c r="B47" s="4" t="s">
        <v>54</v>
      </c>
      <c r="C47" s="5">
        <v>2.85</v>
      </c>
      <c r="D47" s="5">
        <v>2.85</v>
      </c>
      <c r="E47" s="5">
        <v>2.95</v>
      </c>
      <c r="F47" s="5">
        <v>-0.78</v>
      </c>
      <c r="G47" s="8">
        <v>-0.21490000000000001</v>
      </c>
      <c r="H47" s="5">
        <v>750</v>
      </c>
      <c r="I47" s="5">
        <v>4006</v>
      </c>
      <c r="J47" s="6">
        <v>0.32250000000000001</v>
      </c>
    </row>
    <row r="48" spans="1:10" ht="18.600000000000001">
      <c r="A48" s="4">
        <v>100</v>
      </c>
      <c r="B48" s="4" t="s">
        <v>55</v>
      </c>
      <c r="C48" s="5">
        <v>3.88</v>
      </c>
      <c r="D48" s="5">
        <v>3.85</v>
      </c>
      <c r="E48" s="5">
        <v>4.05</v>
      </c>
      <c r="F48" s="5">
        <v>-0.86</v>
      </c>
      <c r="G48" s="8">
        <v>-0.18140000000000001</v>
      </c>
      <c r="H48" s="5">
        <v>131</v>
      </c>
      <c r="I48" s="5">
        <v>3995</v>
      </c>
      <c r="J48" s="6">
        <v>0.31480000000000002</v>
      </c>
    </row>
    <row r="49" spans="1:10" ht="18.600000000000001">
      <c r="A49" s="4">
        <v>105</v>
      </c>
      <c r="B49" s="4" t="s">
        <v>56</v>
      </c>
      <c r="C49" s="5">
        <v>5.2</v>
      </c>
      <c r="D49" s="5">
        <v>5.0999999999999996</v>
      </c>
      <c r="E49" s="5">
        <v>5.35</v>
      </c>
      <c r="F49" s="5">
        <v>-1.25</v>
      </c>
      <c r="G49" s="8">
        <v>-0.1938</v>
      </c>
      <c r="H49" s="5">
        <v>95</v>
      </c>
      <c r="I49" s="5">
        <v>10999</v>
      </c>
      <c r="J49" s="6">
        <v>0.3049</v>
      </c>
    </row>
    <row r="50" spans="1:10" ht="18.600000000000001">
      <c r="A50" s="4">
        <v>110</v>
      </c>
      <c r="B50" s="4" t="s">
        <v>57</v>
      </c>
      <c r="C50" s="5">
        <v>6.95</v>
      </c>
      <c r="D50" s="5">
        <v>6.75</v>
      </c>
      <c r="E50" s="5">
        <v>6.95</v>
      </c>
      <c r="F50" s="5">
        <v>-1.5</v>
      </c>
      <c r="G50" s="8">
        <v>-0.17749999999999999</v>
      </c>
      <c r="H50" s="5">
        <v>28</v>
      </c>
      <c r="I50" s="5">
        <v>14841</v>
      </c>
      <c r="J50" s="6">
        <v>0.29549999999999998</v>
      </c>
    </row>
    <row r="51" spans="1:10" ht="18.600000000000001">
      <c r="A51" s="4">
        <v>115</v>
      </c>
      <c r="B51" s="4" t="s">
        <v>58</v>
      </c>
      <c r="C51" s="5">
        <v>8.9499999999999993</v>
      </c>
      <c r="D51" s="5">
        <v>8.75</v>
      </c>
      <c r="E51" s="5">
        <v>9</v>
      </c>
      <c r="F51" s="5">
        <v>-1.8</v>
      </c>
      <c r="G51" s="8">
        <v>-0.16739999999999999</v>
      </c>
      <c r="H51" s="5">
        <v>260</v>
      </c>
      <c r="I51" s="5">
        <v>11207</v>
      </c>
      <c r="J51" s="6">
        <v>0.2898</v>
      </c>
    </row>
    <row r="52" spans="1:10" ht="18.600000000000001">
      <c r="A52" s="4">
        <v>120</v>
      </c>
      <c r="B52" s="4" t="s">
        <v>59</v>
      </c>
      <c r="C52" s="5">
        <v>11.4</v>
      </c>
      <c r="D52" s="5">
        <v>11.1</v>
      </c>
      <c r="E52" s="5">
        <v>11.35</v>
      </c>
      <c r="F52" s="5">
        <v>-1.8</v>
      </c>
      <c r="G52" s="8">
        <v>-0.13639999999999999</v>
      </c>
      <c r="H52" s="5">
        <v>28</v>
      </c>
      <c r="I52" s="5">
        <v>10655</v>
      </c>
      <c r="J52" s="6">
        <v>0.2828</v>
      </c>
    </row>
    <row r="53" spans="1:10" ht="18.600000000000001">
      <c r="A53" s="4">
        <v>125</v>
      </c>
      <c r="B53" s="4" t="s">
        <v>60</v>
      </c>
      <c r="C53" s="5">
        <v>14.15</v>
      </c>
      <c r="D53" s="5">
        <v>13.85</v>
      </c>
      <c r="E53" s="5">
        <v>14.1</v>
      </c>
      <c r="F53" s="5">
        <v>-1.95</v>
      </c>
      <c r="G53" s="8">
        <v>-0.1211</v>
      </c>
      <c r="H53" s="5">
        <v>281</v>
      </c>
      <c r="I53" s="5">
        <v>6128</v>
      </c>
      <c r="J53" s="6">
        <v>0.27700000000000002</v>
      </c>
    </row>
    <row r="54" spans="1:10" ht="18.600000000000001">
      <c r="A54" s="4">
        <v>130</v>
      </c>
      <c r="B54" s="4" t="s">
        <v>61</v>
      </c>
      <c r="C54" s="5">
        <v>17.350000000000001</v>
      </c>
      <c r="D54" s="5">
        <v>17</v>
      </c>
      <c r="E54" s="5">
        <v>17.3</v>
      </c>
      <c r="F54" s="5">
        <v>-2.25</v>
      </c>
      <c r="G54" s="8">
        <v>-0.1148</v>
      </c>
      <c r="H54" s="5">
        <v>2</v>
      </c>
      <c r="I54" s="5">
        <v>2491</v>
      </c>
      <c r="J54" s="6">
        <v>0.2742</v>
      </c>
    </row>
    <row r="55" spans="1:10" ht="18.600000000000001">
      <c r="A55" s="4">
        <v>135</v>
      </c>
      <c r="B55" s="4" t="s">
        <v>62</v>
      </c>
      <c r="C55" s="5">
        <v>21.15</v>
      </c>
      <c r="D55" s="5">
        <v>20.55</v>
      </c>
      <c r="E55" s="5">
        <v>20.8</v>
      </c>
      <c r="F55" s="5">
        <v>-5.64</v>
      </c>
      <c r="G55" s="8">
        <v>-0.21049999999999999</v>
      </c>
      <c r="H55" s="5">
        <v>11</v>
      </c>
      <c r="I55" s="5">
        <v>1884</v>
      </c>
      <c r="J55" s="6">
        <v>0.27089999999999997</v>
      </c>
    </row>
    <row r="56" spans="1:10" ht="18.600000000000001">
      <c r="A56" s="4">
        <v>140</v>
      </c>
      <c r="B56" s="4" t="s">
        <v>63</v>
      </c>
      <c r="C56" s="5">
        <v>25.3</v>
      </c>
      <c r="D56" s="5">
        <v>24.4</v>
      </c>
      <c r="E56" s="5">
        <v>24.7</v>
      </c>
      <c r="F56" s="5">
        <v>-3.37</v>
      </c>
      <c r="G56" s="8">
        <v>-0.11749999999999999</v>
      </c>
      <c r="H56" s="5">
        <v>10</v>
      </c>
      <c r="I56" s="5">
        <v>2556</v>
      </c>
      <c r="J56" s="6">
        <v>0.27129999999999999</v>
      </c>
    </row>
    <row r="57" spans="1:10" ht="18.600000000000001">
      <c r="A57" s="4">
        <v>145</v>
      </c>
      <c r="B57" s="4" t="s">
        <v>64</v>
      </c>
      <c r="C57" s="5">
        <v>36.6</v>
      </c>
      <c r="D57" s="5">
        <v>28.5</v>
      </c>
      <c r="E57" s="5">
        <v>29</v>
      </c>
      <c r="F57" s="5">
        <v>0</v>
      </c>
      <c r="G57" s="6">
        <v>0</v>
      </c>
      <c r="H57" s="5">
        <v>20</v>
      </c>
      <c r="I57" s="5">
        <v>203</v>
      </c>
      <c r="J57" s="6">
        <v>0.27779999999999999</v>
      </c>
    </row>
    <row r="58" spans="1:10" ht="18.600000000000001">
      <c r="A58" s="4">
        <v>150</v>
      </c>
      <c r="B58" s="4" t="s">
        <v>65</v>
      </c>
      <c r="C58" s="5">
        <v>41.12</v>
      </c>
      <c r="D58" s="5">
        <v>32.9</v>
      </c>
      <c r="E58" s="5">
        <v>33.450000000000003</v>
      </c>
      <c r="F58" s="5">
        <v>0</v>
      </c>
      <c r="G58" s="6">
        <v>0</v>
      </c>
      <c r="H58" s="5">
        <v>5200</v>
      </c>
      <c r="I58" s="5">
        <v>5386</v>
      </c>
      <c r="J58" s="6">
        <v>0.28439999999999999</v>
      </c>
    </row>
    <row r="59" spans="1:10" ht="18.600000000000001">
      <c r="A59" s="4">
        <v>155</v>
      </c>
      <c r="B59" s="4" t="s">
        <v>66</v>
      </c>
      <c r="C59" s="5">
        <v>41.64</v>
      </c>
      <c r="D59" s="5">
        <v>37.5</v>
      </c>
      <c r="E59" s="5">
        <v>38.15</v>
      </c>
      <c r="F59" s="5">
        <v>0</v>
      </c>
      <c r="G59" s="6">
        <v>0</v>
      </c>
      <c r="H59" s="5">
        <v>100</v>
      </c>
      <c r="I59" s="5">
        <v>245</v>
      </c>
      <c r="J59" s="6">
        <v>0.29680000000000001</v>
      </c>
    </row>
    <row r="60" spans="1:10" ht="18.600000000000001">
      <c r="A60" s="4">
        <v>160</v>
      </c>
      <c r="B60" s="4" t="s">
        <v>67</v>
      </c>
      <c r="C60" s="5">
        <v>48.3</v>
      </c>
      <c r="D60" s="5">
        <v>42.2</v>
      </c>
      <c r="E60" s="5">
        <v>42.85</v>
      </c>
      <c r="F60" s="5">
        <v>0</v>
      </c>
      <c r="G60" s="6">
        <v>0</v>
      </c>
      <c r="H60" s="5">
        <v>5</v>
      </c>
      <c r="I60" s="5">
        <v>293</v>
      </c>
      <c r="J60" s="6">
        <v>0.30620000000000003</v>
      </c>
    </row>
    <row r="61" spans="1:10" ht="18.600000000000001">
      <c r="A61" s="4">
        <v>165</v>
      </c>
      <c r="B61" s="4" t="s">
        <v>68</v>
      </c>
      <c r="C61" s="5">
        <v>56.75</v>
      </c>
      <c r="D61" s="5">
        <v>46.9</v>
      </c>
      <c r="E61" s="5">
        <v>47.7</v>
      </c>
      <c r="F61" s="5">
        <v>0</v>
      </c>
      <c r="G61" s="6">
        <v>0</v>
      </c>
      <c r="H61" s="5">
        <v>10</v>
      </c>
      <c r="I61" s="5">
        <v>42</v>
      </c>
      <c r="J61" s="6">
        <v>0.32</v>
      </c>
    </row>
    <row r="62" spans="1:10" ht="18.600000000000001">
      <c r="A62" s="4">
        <v>170</v>
      </c>
      <c r="B62" s="4" t="s">
        <v>69</v>
      </c>
      <c r="C62" s="5">
        <v>55.95</v>
      </c>
      <c r="D62" s="5">
        <v>51.75</v>
      </c>
      <c r="E62" s="5">
        <v>52.45</v>
      </c>
      <c r="F62" s="5">
        <v>0</v>
      </c>
      <c r="G62" s="6">
        <v>0</v>
      </c>
      <c r="H62" s="5">
        <v>0</v>
      </c>
      <c r="I62" s="5">
        <v>1</v>
      </c>
      <c r="J62" s="6">
        <v>0.32669999999999999</v>
      </c>
    </row>
    <row r="63" spans="1:10" ht="18.600000000000001">
      <c r="A63" s="4">
        <v>175</v>
      </c>
      <c r="B63" s="4" t="s">
        <v>70</v>
      </c>
      <c r="C63" s="5">
        <v>63.75</v>
      </c>
      <c r="D63" s="5">
        <v>56.7</v>
      </c>
      <c r="E63" s="5">
        <v>57.35</v>
      </c>
      <c r="F63" s="5">
        <v>0</v>
      </c>
      <c r="G63" s="6">
        <v>0</v>
      </c>
      <c r="H63" s="5">
        <v>0</v>
      </c>
      <c r="I63" s="5">
        <v>25</v>
      </c>
      <c r="J63" s="6">
        <v>0.33950000000000002</v>
      </c>
    </row>
    <row r="64" spans="1:10" ht="18.600000000000001">
      <c r="A64" s="4">
        <v>180</v>
      </c>
      <c r="B64" s="4" t="s">
        <v>71</v>
      </c>
      <c r="C64" s="5">
        <v>66.900000000000006</v>
      </c>
      <c r="D64" s="5">
        <v>61.6</v>
      </c>
      <c r="E64" s="5">
        <v>62.35</v>
      </c>
      <c r="F64" s="5">
        <v>0</v>
      </c>
      <c r="G64" s="6">
        <v>0</v>
      </c>
      <c r="H64" s="5">
        <v>0</v>
      </c>
      <c r="I64" s="5">
        <v>20</v>
      </c>
      <c r="J64" s="6">
        <v>0.35709999999999997</v>
      </c>
    </row>
    <row r="65" spans="1:10" ht="18.600000000000001">
      <c r="A65" s="4">
        <v>185</v>
      </c>
      <c r="B65" s="4" t="s">
        <v>72</v>
      </c>
      <c r="C65" s="5">
        <v>56.65</v>
      </c>
      <c r="D65" s="5">
        <v>66.45</v>
      </c>
      <c r="E65" s="5">
        <v>67.3</v>
      </c>
      <c r="F65" s="5">
        <v>0</v>
      </c>
      <c r="G65" s="6">
        <v>0</v>
      </c>
      <c r="H65" s="5">
        <v>0</v>
      </c>
      <c r="I65" s="5">
        <v>8</v>
      </c>
      <c r="J65" s="6">
        <v>0.37090000000000001</v>
      </c>
    </row>
    <row r="66" spans="1:10" ht="18.600000000000001">
      <c r="A66" s="4">
        <v>195</v>
      </c>
      <c r="B66" s="4" t="s">
        <v>73</v>
      </c>
      <c r="C66" s="5">
        <v>86.55</v>
      </c>
      <c r="D66" s="5">
        <v>76.45</v>
      </c>
      <c r="E66" s="5">
        <v>77.25</v>
      </c>
      <c r="F66" s="5">
        <v>0</v>
      </c>
      <c r="G66" s="6">
        <v>0</v>
      </c>
      <c r="H66" s="5">
        <v>0</v>
      </c>
      <c r="I66" s="5">
        <v>3</v>
      </c>
      <c r="J66" s="6">
        <v>0.39910000000000001</v>
      </c>
    </row>
  </sheetData>
  <mergeCells count="20">
    <mergeCell ref="A2:J2"/>
    <mergeCell ref="B3:B5"/>
    <mergeCell ref="C3:C5"/>
    <mergeCell ref="D3:D5"/>
    <mergeCell ref="E3:E5"/>
    <mergeCell ref="F3:F5"/>
    <mergeCell ref="G3:G5"/>
    <mergeCell ref="H3:H5"/>
    <mergeCell ref="I3:I5"/>
    <mergeCell ref="J3:J5"/>
    <mergeCell ref="A35:J35"/>
    <mergeCell ref="B36:B38"/>
    <mergeCell ref="C36:C38"/>
    <mergeCell ref="D36:D38"/>
    <mergeCell ref="E36:E38"/>
    <mergeCell ref="F36:F38"/>
    <mergeCell ref="G36:G38"/>
    <mergeCell ref="H36:H38"/>
    <mergeCell ref="I36:I38"/>
    <mergeCell ref="J36:J38"/>
  </mergeCells>
  <hyperlinks>
    <hyperlink ref="A6" r:id="rId1" display="http://finance.yahoo.com/q/op?s=AAPL&amp;strike=55.00" xr:uid="{00000000-0004-0000-0000-000000000000}"/>
    <hyperlink ref="B6" r:id="rId2" xr:uid="{00000000-0004-0000-0000-000001000000}"/>
    <hyperlink ref="A7" r:id="rId3" display="http://finance.yahoo.com/q/op?s=AAPL&amp;strike=60.00" xr:uid="{00000000-0004-0000-0000-000002000000}"/>
    <hyperlink ref="B7" r:id="rId4" xr:uid="{00000000-0004-0000-0000-000003000000}"/>
    <hyperlink ref="A8" r:id="rId5" display="http://finance.yahoo.com/q/op?s=AAPL&amp;strike=65.00" xr:uid="{00000000-0004-0000-0000-000004000000}"/>
    <hyperlink ref="B8" r:id="rId6" xr:uid="{00000000-0004-0000-0000-000005000000}"/>
    <hyperlink ref="A9" r:id="rId7" display="http://finance.yahoo.com/q/op?s=AAPL&amp;strike=70.00" xr:uid="{00000000-0004-0000-0000-000006000000}"/>
    <hyperlink ref="B9" r:id="rId8" xr:uid="{00000000-0004-0000-0000-000007000000}"/>
    <hyperlink ref="A10" r:id="rId9" display="http://finance.yahoo.com/q/op?s=AAPL&amp;strike=75.00" xr:uid="{00000000-0004-0000-0000-000008000000}"/>
    <hyperlink ref="B10" r:id="rId10" xr:uid="{00000000-0004-0000-0000-000009000000}"/>
    <hyperlink ref="A11" r:id="rId11" display="http://finance.yahoo.com/q/op?s=AAPL&amp;strike=80.00" xr:uid="{00000000-0004-0000-0000-00000A000000}"/>
    <hyperlink ref="B11" r:id="rId12" xr:uid="{00000000-0004-0000-0000-00000B000000}"/>
    <hyperlink ref="A12" r:id="rId13" display="http://finance.yahoo.com/q/op?s=AAPL&amp;strike=85.00" xr:uid="{00000000-0004-0000-0000-00000C000000}"/>
    <hyperlink ref="B12" r:id="rId14" xr:uid="{00000000-0004-0000-0000-00000D000000}"/>
    <hyperlink ref="A13" r:id="rId15" display="http://finance.yahoo.com/q/op?s=AAPL&amp;strike=90.00" xr:uid="{00000000-0004-0000-0000-00000E000000}"/>
    <hyperlink ref="B13" r:id="rId16" xr:uid="{00000000-0004-0000-0000-00000F000000}"/>
    <hyperlink ref="A14" r:id="rId17" display="http://finance.yahoo.com/q/op?s=AAPL&amp;strike=95.00" xr:uid="{00000000-0004-0000-0000-000010000000}"/>
    <hyperlink ref="B14" r:id="rId18" xr:uid="{00000000-0004-0000-0000-000011000000}"/>
    <hyperlink ref="A15" r:id="rId19" display="http://finance.yahoo.com/q/op?s=AAPL&amp;strike=100.00" xr:uid="{00000000-0004-0000-0000-000012000000}"/>
    <hyperlink ref="B15" r:id="rId20" xr:uid="{00000000-0004-0000-0000-000013000000}"/>
    <hyperlink ref="A16" r:id="rId21" display="http://finance.yahoo.com/q/op?s=AAPL&amp;strike=105.00" xr:uid="{00000000-0004-0000-0000-000014000000}"/>
    <hyperlink ref="B16" r:id="rId22" xr:uid="{00000000-0004-0000-0000-000015000000}"/>
    <hyperlink ref="A17" r:id="rId23" display="http://finance.yahoo.com/q/op?s=AAPL&amp;strike=110.00" xr:uid="{00000000-0004-0000-0000-000016000000}"/>
    <hyperlink ref="B17" r:id="rId24" xr:uid="{00000000-0004-0000-0000-000017000000}"/>
    <hyperlink ref="A18" r:id="rId25" display="http://finance.yahoo.com/q/op?s=AAPL&amp;strike=115.00" xr:uid="{00000000-0004-0000-0000-000018000000}"/>
    <hyperlink ref="B18" r:id="rId26" xr:uid="{00000000-0004-0000-0000-000019000000}"/>
    <hyperlink ref="A19" r:id="rId27" display="http://finance.yahoo.com/q/op?s=AAPL&amp;strike=120.00" xr:uid="{00000000-0004-0000-0000-00001A000000}"/>
    <hyperlink ref="B19" r:id="rId28" xr:uid="{00000000-0004-0000-0000-00001B000000}"/>
    <hyperlink ref="A20" r:id="rId29" display="http://finance.yahoo.com/q/op?s=AAPL&amp;strike=125.00" xr:uid="{00000000-0004-0000-0000-00001C000000}"/>
    <hyperlink ref="B20" r:id="rId30" xr:uid="{00000000-0004-0000-0000-00001D000000}"/>
    <hyperlink ref="A21" r:id="rId31" display="http://finance.yahoo.com/q/op?s=AAPL&amp;strike=130.00" xr:uid="{00000000-0004-0000-0000-00001E000000}"/>
    <hyperlink ref="B21" r:id="rId32" xr:uid="{00000000-0004-0000-0000-00001F000000}"/>
    <hyperlink ref="A22" r:id="rId33" display="http://finance.yahoo.com/q/op?s=AAPL&amp;strike=135.00" xr:uid="{00000000-0004-0000-0000-000020000000}"/>
    <hyperlink ref="B22" r:id="rId34" xr:uid="{00000000-0004-0000-0000-000021000000}"/>
    <hyperlink ref="A23" r:id="rId35" display="http://finance.yahoo.com/q/op?s=AAPL&amp;strike=140.00" xr:uid="{00000000-0004-0000-0000-000022000000}"/>
    <hyperlink ref="B23" r:id="rId36" xr:uid="{00000000-0004-0000-0000-000023000000}"/>
    <hyperlink ref="A24" r:id="rId37" display="http://finance.yahoo.com/q/op?s=AAPL&amp;strike=145.00" xr:uid="{00000000-0004-0000-0000-000024000000}"/>
    <hyperlink ref="B24" r:id="rId38" xr:uid="{00000000-0004-0000-0000-000025000000}"/>
    <hyperlink ref="A25" r:id="rId39" display="http://finance.yahoo.com/q/op?s=AAPL&amp;strike=150.00" xr:uid="{00000000-0004-0000-0000-000026000000}"/>
    <hyperlink ref="B25" r:id="rId40" xr:uid="{00000000-0004-0000-0000-000027000000}"/>
    <hyperlink ref="A26" r:id="rId41" display="http://finance.yahoo.com/q/op?s=AAPL&amp;strike=155.00" xr:uid="{00000000-0004-0000-0000-000028000000}"/>
    <hyperlink ref="B26" r:id="rId42" xr:uid="{00000000-0004-0000-0000-000029000000}"/>
    <hyperlink ref="A27" r:id="rId43" display="http://finance.yahoo.com/q/op?s=AAPL&amp;strike=160.00" xr:uid="{00000000-0004-0000-0000-00002A000000}"/>
    <hyperlink ref="B27" r:id="rId44" xr:uid="{00000000-0004-0000-0000-00002B000000}"/>
    <hyperlink ref="A28" r:id="rId45" display="http://finance.yahoo.com/q/op?s=AAPL&amp;strike=165.00" xr:uid="{00000000-0004-0000-0000-00002C000000}"/>
    <hyperlink ref="B28" r:id="rId46" xr:uid="{00000000-0004-0000-0000-00002D000000}"/>
    <hyperlink ref="A29" r:id="rId47" display="http://finance.yahoo.com/q/op?s=AAPL&amp;strike=170.00" xr:uid="{00000000-0004-0000-0000-00002E000000}"/>
    <hyperlink ref="B29" r:id="rId48" xr:uid="{00000000-0004-0000-0000-00002F000000}"/>
    <hyperlink ref="A30" r:id="rId49" display="http://finance.yahoo.com/q/op?s=AAPL&amp;strike=175.00" xr:uid="{00000000-0004-0000-0000-000030000000}"/>
    <hyperlink ref="B30" r:id="rId50" xr:uid="{00000000-0004-0000-0000-000031000000}"/>
    <hyperlink ref="A31" r:id="rId51" display="http://finance.yahoo.com/q/op?s=AAPL&amp;strike=180.00" xr:uid="{00000000-0004-0000-0000-000032000000}"/>
    <hyperlink ref="B31" r:id="rId52" xr:uid="{00000000-0004-0000-0000-000033000000}"/>
    <hyperlink ref="A32" r:id="rId53" display="http://finance.yahoo.com/q/op?s=AAPL&amp;strike=185.00" xr:uid="{00000000-0004-0000-0000-000034000000}"/>
    <hyperlink ref="B32" r:id="rId54" xr:uid="{00000000-0004-0000-0000-000035000000}"/>
    <hyperlink ref="A33" r:id="rId55" display="http://finance.yahoo.com/q/op?s=AAPL&amp;strike=190.00" xr:uid="{00000000-0004-0000-0000-000036000000}"/>
    <hyperlink ref="B33" r:id="rId56" xr:uid="{00000000-0004-0000-0000-000037000000}"/>
    <hyperlink ref="A34" r:id="rId57" display="http://finance.yahoo.com/q/op?s=AAPL&amp;strike=195.00" xr:uid="{00000000-0004-0000-0000-000038000000}"/>
    <hyperlink ref="B34" r:id="rId58" xr:uid="{00000000-0004-0000-0000-000039000000}"/>
    <hyperlink ref="A39" r:id="rId59" display="http://finance.yahoo.com/q/op?s=AAPL&amp;strike=55.00" xr:uid="{00000000-0004-0000-0000-00003A000000}"/>
    <hyperlink ref="B39" r:id="rId60" xr:uid="{00000000-0004-0000-0000-00003B000000}"/>
    <hyperlink ref="A40" r:id="rId61" display="http://finance.yahoo.com/q/op?s=AAPL&amp;strike=60.00" xr:uid="{00000000-0004-0000-0000-00003C000000}"/>
    <hyperlink ref="B40" r:id="rId62" xr:uid="{00000000-0004-0000-0000-00003D000000}"/>
    <hyperlink ref="A41" r:id="rId63" display="http://finance.yahoo.com/q/op?s=AAPL&amp;strike=65.00" xr:uid="{00000000-0004-0000-0000-00003E000000}"/>
    <hyperlink ref="B41" r:id="rId64" xr:uid="{00000000-0004-0000-0000-00003F000000}"/>
    <hyperlink ref="A42" r:id="rId65" display="http://finance.yahoo.com/q/op?s=AAPL&amp;strike=70.00" xr:uid="{00000000-0004-0000-0000-000040000000}"/>
    <hyperlink ref="B42" r:id="rId66" xr:uid="{00000000-0004-0000-0000-000041000000}"/>
    <hyperlink ref="A43" r:id="rId67" display="http://finance.yahoo.com/q/op?s=AAPL&amp;strike=75.00" xr:uid="{00000000-0004-0000-0000-000042000000}"/>
    <hyperlink ref="B43" r:id="rId68" xr:uid="{00000000-0004-0000-0000-000043000000}"/>
    <hyperlink ref="A44" r:id="rId69" display="http://finance.yahoo.com/q/op?s=AAPL&amp;strike=80.00" xr:uid="{00000000-0004-0000-0000-000044000000}"/>
    <hyperlink ref="B44" r:id="rId70" xr:uid="{00000000-0004-0000-0000-000045000000}"/>
    <hyperlink ref="A45" r:id="rId71" display="http://finance.yahoo.com/q/op?s=AAPL&amp;strike=85.00" xr:uid="{00000000-0004-0000-0000-000046000000}"/>
    <hyperlink ref="B45" r:id="rId72" xr:uid="{00000000-0004-0000-0000-000047000000}"/>
    <hyperlink ref="A46" r:id="rId73" display="http://finance.yahoo.com/q/op?s=AAPL&amp;strike=90.00" xr:uid="{00000000-0004-0000-0000-000048000000}"/>
    <hyperlink ref="B46" r:id="rId74" xr:uid="{00000000-0004-0000-0000-000049000000}"/>
    <hyperlink ref="A47" r:id="rId75" display="http://finance.yahoo.com/q/op?s=AAPL&amp;strike=95.00" xr:uid="{00000000-0004-0000-0000-00004A000000}"/>
    <hyperlink ref="B47" r:id="rId76" xr:uid="{00000000-0004-0000-0000-00004B000000}"/>
    <hyperlink ref="A48" r:id="rId77" display="http://finance.yahoo.com/q/op?s=AAPL&amp;strike=100.00" xr:uid="{00000000-0004-0000-0000-00004C000000}"/>
    <hyperlink ref="B48" r:id="rId78" xr:uid="{00000000-0004-0000-0000-00004D000000}"/>
    <hyperlink ref="A49" r:id="rId79" display="http://finance.yahoo.com/q/op?s=AAPL&amp;strike=105.00" xr:uid="{00000000-0004-0000-0000-00004E000000}"/>
    <hyperlink ref="B49" r:id="rId80" xr:uid="{00000000-0004-0000-0000-00004F000000}"/>
    <hyperlink ref="A50" r:id="rId81" display="http://finance.yahoo.com/q/op?s=AAPL&amp;strike=110.00" xr:uid="{00000000-0004-0000-0000-000050000000}"/>
    <hyperlink ref="B50" r:id="rId82" xr:uid="{00000000-0004-0000-0000-000051000000}"/>
    <hyperlink ref="A51" r:id="rId83" display="http://finance.yahoo.com/q/op?s=AAPL&amp;strike=115.00" xr:uid="{00000000-0004-0000-0000-000052000000}"/>
    <hyperlink ref="B51" r:id="rId84" xr:uid="{00000000-0004-0000-0000-000053000000}"/>
    <hyperlink ref="A52" r:id="rId85" display="http://finance.yahoo.com/q/op?s=AAPL&amp;strike=120.00" xr:uid="{00000000-0004-0000-0000-000054000000}"/>
    <hyperlink ref="B52" r:id="rId86" xr:uid="{00000000-0004-0000-0000-000055000000}"/>
    <hyperlink ref="A53" r:id="rId87" display="http://finance.yahoo.com/q/op?s=AAPL&amp;strike=125.00" xr:uid="{00000000-0004-0000-0000-000056000000}"/>
    <hyperlink ref="B53" r:id="rId88" xr:uid="{00000000-0004-0000-0000-000057000000}"/>
    <hyperlink ref="A54" r:id="rId89" display="http://finance.yahoo.com/q/op?s=AAPL&amp;strike=130.00" xr:uid="{00000000-0004-0000-0000-000058000000}"/>
    <hyperlink ref="B54" r:id="rId90" xr:uid="{00000000-0004-0000-0000-000059000000}"/>
    <hyperlink ref="A55" r:id="rId91" display="http://finance.yahoo.com/q/op?s=AAPL&amp;strike=135.00" xr:uid="{00000000-0004-0000-0000-00005A000000}"/>
    <hyperlink ref="B55" r:id="rId92" xr:uid="{00000000-0004-0000-0000-00005B000000}"/>
    <hyperlink ref="A56" r:id="rId93" display="http://finance.yahoo.com/q/op?s=AAPL&amp;strike=140.00" xr:uid="{00000000-0004-0000-0000-00005C000000}"/>
    <hyperlink ref="B56" r:id="rId94" xr:uid="{00000000-0004-0000-0000-00005D000000}"/>
    <hyperlink ref="A57" r:id="rId95" display="http://finance.yahoo.com/q/op?s=AAPL&amp;strike=145.00" xr:uid="{00000000-0004-0000-0000-00005E000000}"/>
    <hyperlink ref="B57" r:id="rId96" xr:uid="{00000000-0004-0000-0000-00005F000000}"/>
    <hyperlink ref="A58" r:id="rId97" display="http://finance.yahoo.com/q/op?s=AAPL&amp;strike=150.00" xr:uid="{00000000-0004-0000-0000-000060000000}"/>
    <hyperlink ref="B58" r:id="rId98" xr:uid="{00000000-0004-0000-0000-000061000000}"/>
    <hyperlink ref="A59" r:id="rId99" display="http://finance.yahoo.com/q/op?s=AAPL&amp;strike=155.00" xr:uid="{00000000-0004-0000-0000-000062000000}"/>
    <hyperlink ref="B59" r:id="rId100" xr:uid="{00000000-0004-0000-0000-000063000000}"/>
    <hyperlink ref="A60" r:id="rId101" display="http://finance.yahoo.com/q/op?s=AAPL&amp;strike=160.00" xr:uid="{00000000-0004-0000-0000-000064000000}"/>
    <hyperlink ref="B60" r:id="rId102" xr:uid="{00000000-0004-0000-0000-000065000000}"/>
    <hyperlink ref="A61" r:id="rId103" display="http://finance.yahoo.com/q/op?s=AAPL&amp;strike=165.00" xr:uid="{00000000-0004-0000-0000-000066000000}"/>
    <hyperlink ref="B61" r:id="rId104" xr:uid="{00000000-0004-0000-0000-000067000000}"/>
    <hyperlink ref="A62" r:id="rId105" display="http://finance.yahoo.com/q/op?s=AAPL&amp;strike=170.00" xr:uid="{00000000-0004-0000-0000-000068000000}"/>
    <hyperlink ref="B62" r:id="rId106" xr:uid="{00000000-0004-0000-0000-000069000000}"/>
    <hyperlink ref="A63" r:id="rId107" display="http://finance.yahoo.com/q/op?s=AAPL&amp;strike=175.00" xr:uid="{00000000-0004-0000-0000-00006A000000}"/>
    <hyperlink ref="B63" r:id="rId108" xr:uid="{00000000-0004-0000-0000-00006B000000}"/>
    <hyperlink ref="A64" r:id="rId109" display="http://finance.yahoo.com/q/op?s=AAPL&amp;strike=180.00" xr:uid="{00000000-0004-0000-0000-00006C000000}"/>
    <hyperlink ref="B64" r:id="rId110" xr:uid="{00000000-0004-0000-0000-00006D000000}"/>
    <hyperlink ref="A65" r:id="rId111" display="http://finance.yahoo.com/q/op?s=AAPL&amp;strike=185.00" xr:uid="{00000000-0004-0000-0000-00006E000000}"/>
    <hyperlink ref="B65" r:id="rId112" xr:uid="{00000000-0004-0000-0000-00006F000000}"/>
    <hyperlink ref="A66" r:id="rId113" display="http://finance.yahoo.com/q/op?s=AAPL&amp;strike=195.00" xr:uid="{00000000-0004-0000-0000-000070000000}"/>
    <hyperlink ref="B66" r:id="rId114" xr:uid="{00000000-0004-0000-0000-00007100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84"/>
  <sheetViews>
    <sheetView topLeftCell="A2" workbookViewId="0">
      <selection activeCell="H11" sqref="H11"/>
    </sheetView>
  </sheetViews>
  <sheetFormatPr defaultColWidth="11" defaultRowHeight="15.6"/>
  <cols>
    <col min="2" max="2" width="24.59765625" customWidth="1"/>
  </cols>
  <sheetData>
    <row r="1" spans="1:10">
      <c r="A1" s="9" t="s">
        <v>74</v>
      </c>
    </row>
    <row r="3" spans="1:10" ht="16.8">
      <c r="A3" s="15" t="s">
        <v>2</v>
      </c>
      <c r="B3" s="16"/>
      <c r="C3" s="16"/>
      <c r="D3" s="16"/>
      <c r="E3" s="16"/>
      <c r="F3" s="16"/>
      <c r="G3" s="16"/>
      <c r="H3" s="16"/>
      <c r="I3" s="16"/>
      <c r="J3" s="16"/>
    </row>
    <row r="4" spans="1:10" ht="19.2">
      <c r="A4" s="1" t="s">
        <v>4</v>
      </c>
      <c r="B4" s="17" t="s">
        <v>5</v>
      </c>
      <c r="C4" s="17" t="s">
        <v>6</v>
      </c>
      <c r="D4" s="17" t="s">
        <v>7</v>
      </c>
      <c r="E4" s="17" t="s">
        <v>8</v>
      </c>
      <c r="F4" s="17" t="s">
        <v>9</v>
      </c>
      <c r="G4" s="17" t="s">
        <v>10</v>
      </c>
      <c r="H4" s="17" t="s">
        <v>11</v>
      </c>
      <c r="I4" s="17" t="s">
        <v>12</v>
      </c>
      <c r="J4" s="17" t="s">
        <v>13</v>
      </c>
    </row>
    <row r="5" spans="1:10">
      <c r="A5" s="2" t="s">
        <v>14</v>
      </c>
      <c r="B5" s="17"/>
      <c r="C5" s="17"/>
      <c r="D5" s="17"/>
      <c r="E5" s="17"/>
      <c r="F5" s="17"/>
      <c r="G5" s="17"/>
      <c r="H5" s="17"/>
      <c r="I5" s="17"/>
      <c r="J5" s="17"/>
    </row>
    <row r="6" spans="1:10">
      <c r="A6" s="3" t="s">
        <v>15</v>
      </c>
      <c r="B6" s="17"/>
      <c r="C6" s="17"/>
      <c r="D6" s="17"/>
      <c r="E6" s="17"/>
      <c r="F6" s="17"/>
      <c r="G6" s="17"/>
      <c r="H6" s="17"/>
      <c r="I6" s="17"/>
      <c r="J6" s="17"/>
    </row>
    <row r="7" spans="1:10" ht="18.600000000000001">
      <c r="A7" s="4">
        <v>90</v>
      </c>
      <c r="B7" s="4" t="s">
        <v>75</v>
      </c>
      <c r="C7" s="5">
        <v>21.47</v>
      </c>
      <c r="D7" s="5">
        <v>28.95</v>
      </c>
      <c r="E7" s="5">
        <v>29.25</v>
      </c>
      <c r="F7" s="5">
        <v>0</v>
      </c>
      <c r="G7" s="6">
        <v>0</v>
      </c>
      <c r="H7" s="5">
        <v>2</v>
      </c>
      <c r="I7" s="5">
        <v>2</v>
      </c>
      <c r="J7" s="6">
        <v>0.46970000000000001</v>
      </c>
    </row>
    <row r="8" spans="1:10" ht="18.600000000000001">
      <c r="A8" s="4">
        <v>95</v>
      </c>
      <c r="B8" s="4" t="s">
        <v>76</v>
      </c>
      <c r="C8" s="5">
        <v>23.75</v>
      </c>
      <c r="D8" s="5">
        <v>24.05</v>
      </c>
      <c r="E8" s="5">
        <v>24.3</v>
      </c>
      <c r="F8" s="5">
        <v>4.47</v>
      </c>
      <c r="G8" s="7">
        <v>0.23180000000000001</v>
      </c>
      <c r="H8" s="5">
        <v>5</v>
      </c>
      <c r="I8" s="5">
        <v>76</v>
      </c>
      <c r="J8" s="6">
        <v>0.41020000000000001</v>
      </c>
    </row>
    <row r="9" spans="1:10" ht="18.600000000000001">
      <c r="A9" s="4">
        <v>96</v>
      </c>
      <c r="B9" s="4" t="s">
        <v>77</v>
      </c>
      <c r="C9" s="5">
        <v>16.2</v>
      </c>
      <c r="D9" s="5">
        <v>23.1</v>
      </c>
      <c r="E9" s="5">
        <v>23.35</v>
      </c>
      <c r="F9" s="5">
        <v>0</v>
      </c>
      <c r="G9" s="6">
        <v>0</v>
      </c>
      <c r="H9" s="5">
        <v>2</v>
      </c>
      <c r="I9" s="5">
        <v>2</v>
      </c>
      <c r="J9" s="6">
        <v>0.41020000000000001</v>
      </c>
    </row>
    <row r="10" spans="1:10" ht="18.600000000000001">
      <c r="A10" s="4">
        <v>97</v>
      </c>
      <c r="B10" s="4" t="s">
        <v>78</v>
      </c>
      <c r="C10" s="5">
        <v>14.5</v>
      </c>
      <c r="D10" s="5">
        <v>22.1</v>
      </c>
      <c r="E10" s="5">
        <v>22.35</v>
      </c>
      <c r="F10" s="5">
        <v>0</v>
      </c>
      <c r="G10" s="6">
        <v>0</v>
      </c>
      <c r="H10" s="5">
        <v>10</v>
      </c>
      <c r="I10" s="5">
        <v>10</v>
      </c>
      <c r="J10" s="6">
        <v>0.39400000000000002</v>
      </c>
    </row>
    <row r="11" spans="1:10" ht="18.600000000000001">
      <c r="A11" s="4">
        <v>98.5</v>
      </c>
      <c r="B11" s="4" t="s">
        <v>79</v>
      </c>
      <c r="C11" s="5">
        <v>20.55</v>
      </c>
      <c r="D11" s="5">
        <v>20.6</v>
      </c>
      <c r="E11" s="5">
        <v>20.9</v>
      </c>
      <c r="F11" s="5">
        <v>6.8</v>
      </c>
      <c r="G11" s="7">
        <v>0.4945</v>
      </c>
      <c r="H11" s="5">
        <v>11</v>
      </c>
      <c r="I11" s="5">
        <v>6</v>
      </c>
      <c r="J11" s="6">
        <v>0.38279999999999997</v>
      </c>
    </row>
    <row r="12" spans="1:10" ht="18.600000000000001">
      <c r="A12" s="4">
        <v>99.5</v>
      </c>
      <c r="B12" s="4" t="s">
        <v>80</v>
      </c>
      <c r="C12" s="5">
        <v>12.97</v>
      </c>
      <c r="D12" s="5">
        <v>19.600000000000001</v>
      </c>
      <c r="E12" s="5">
        <v>19.95</v>
      </c>
      <c r="F12" s="5">
        <v>0</v>
      </c>
      <c r="G12" s="6">
        <v>0</v>
      </c>
      <c r="H12" s="5">
        <v>1</v>
      </c>
      <c r="I12" s="5">
        <v>1</v>
      </c>
      <c r="J12" s="6">
        <v>0.37840000000000001</v>
      </c>
    </row>
    <row r="13" spans="1:10" ht="18.600000000000001">
      <c r="A13" s="4">
        <v>100</v>
      </c>
      <c r="B13" s="4" t="s">
        <v>81</v>
      </c>
      <c r="C13" s="5">
        <v>19</v>
      </c>
      <c r="D13" s="5">
        <v>19.149999999999999</v>
      </c>
      <c r="E13" s="5">
        <v>19.5</v>
      </c>
      <c r="F13" s="5">
        <v>4.5</v>
      </c>
      <c r="G13" s="7">
        <v>0.31030000000000002</v>
      </c>
      <c r="H13" s="5">
        <v>13</v>
      </c>
      <c r="I13" s="5">
        <v>234</v>
      </c>
      <c r="J13" s="6">
        <v>0.38090000000000002</v>
      </c>
    </row>
    <row r="14" spans="1:10" ht="18.600000000000001">
      <c r="A14" s="4">
        <v>101</v>
      </c>
      <c r="B14" s="4" t="s">
        <v>82</v>
      </c>
      <c r="C14" s="5">
        <v>11.1</v>
      </c>
      <c r="D14" s="5">
        <v>18.3</v>
      </c>
      <c r="E14" s="5">
        <v>18.55</v>
      </c>
      <c r="F14" s="5">
        <v>0</v>
      </c>
      <c r="G14" s="6">
        <v>0</v>
      </c>
      <c r="H14" s="5">
        <v>1</v>
      </c>
      <c r="I14" s="5">
        <v>7</v>
      </c>
      <c r="J14" s="6">
        <v>0.374</v>
      </c>
    </row>
    <row r="15" spans="1:10" ht="18.600000000000001">
      <c r="A15" s="4">
        <v>102</v>
      </c>
      <c r="B15" s="4" t="s">
        <v>83</v>
      </c>
      <c r="C15" s="5">
        <v>16.66</v>
      </c>
      <c r="D15" s="5">
        <v>17.25</v>
      </c>
      <c r="E15" s="5">
        <v>17.55</v>
      </c>
      <c r="F15" s="5">
        <v>3.56</v>
      </c>
      <c r="G15" s="7">
        <v>0.27179999999999999</v>
      </c>
      <c r="H15" s="5">
        <v>80</v>
      </c>
      <c r="I15" s="5">
        <v>372</v>
      </c>
      <c r="J15" s="6">
        <v>0.35649999999999998</v>
      </c>
    </row>
    <row r="16" spans="1:10" ht="18.600000000000001">
      <c r="A16" s="4">
        <v>103</v>
      </c>
      <c r="B16" s="4" t="s">
        <v>84</v>
      </c>
      <c r="C16" s="5">
        <v>11.88</v>
      </c>
      <c r="D16" s="5">
        <v>16.3</v>
      </c>
      <c r="E16" s="5">
        <v>16.600000000000001</v>
      </c>
      <c r="F16" s="5">
        <v>0</v>
      </c>
      <c r="G16" s="6">
        <v>0</v>
      </c>
      <c r="H16" s="5">
        <v>30</v>
      </c>
      <c r="I16" s="5">
        <v>67</v>
      </c>
      <c r="J16" s="6">
        <v>0.34789999999999999</v>
      </c>
    </row>
    <row r="17" spans="1:10" ht="18.600000000000001">
      <c r="A17" s="4">
        <v>104</v>
      </c>
      <c r="B17" s="4" t="s">
        <v>85</v>
      </c>
      <c r="C17" s="5">
        <v>15.35</v>
      </c>
      <c r="D17" s="5">
        <v>15.45</v>
      </c>
      <c r="E17" s="5">
        <v>15.65</v>
      </c>
      <c r="F17" s="5">
        <v>3.6</v>
      </c>
      <c r="G17" s="7">
        <v>0.30640000000000001</v>
      </c>
      <c r="H17" s="5">
        <v>41</v>
      </c>
      <c r="I17" s="5">
        <v>662</v>
      </c>
      <c r="J17" s="6">
        <v>0.33839999999999998</v>
      </c>
    </row>
    <row r="18" spans="1:10" ht="18.600000000000001">
      <c r="A18" s="4">
        <v>105</v>
      </c>
      <c r="B18" s="4" t="s">
        <v>86</v>
      </c>
      <c r="C18" s="5">
        <v>14.13</v>
      </c>
      <c r="D18" s="5">
        <v>14.45</v>
      </c>
      <c r="E18" s="5">
        <v>14.75</v>
      </c>
      <c r="F18" s="5">
        <v>2.66</v>
      </c>
      <c r="G18" s="7">
        <v>0.2319</v>
      </c>
      <c r="H18" s="5">
        <v>126</v>
      </c>
      <c r="I18" s="5">
        <v>253</v>
      </c>
      <c r="J18" s="6">
        <v>0.3357</v>
      </c>
    </row>
    <row r="19" spans="1:10" ht="18.600000000000001">
      <c r="A19" s="4">
        <v>106</v>
      </c>
      <c r="B19" s="4" t="s">
        <v>87</v>
      </c>
      <c r="C19" s="5">
        <v>13.66</v>
      </c>
      <c r="D19" s="5">
        <v>13.6</v>
      </c>
      <c r="E19" s="5">
        <v>13.85</v>
      </c>
      <c r="F19" s="5">
        <v>3.08</v>
      </c>
      <c r="G19" s="7">
        <v>0.29110000000000003</v>
      </c>
      <c r="H19" s="5">
        <v>175</v>
      </c>
      <c r="I19" s="5">
        <v>45</v>
      </c>
      <c r="J19" s="6">
        <v>0.33079999999999998</v>
      </c>
    </row>
    <row r="20" spans="1:10" ht="18.600000000000001">
      <c r="A20" s="4">
        <v>107</v>
      </c>
      <c r="B20" s="4" t="s">
        <v>88</v>
      </c>
      <c r="C20" s="5">
        <v>12.8</v>
      </c>
      <c r="D20" s="5">
        <v>12.75</v>
      </c>
      <c r="E20" s="5">
        <v>12.95</v>
      </c>
      <c r="F20" s="5">
        <v>4</v>
      </c>
      <c r="G20" s="7">
        <v>0.45450000000000002</v>
      </c>
      <c r="H20" s="5">
        <v>21</v>
      </c>
      <c r="I20" s="5">
        <v>69</v>
      </c>
      <c r="J20" s="6">
        <v>0.32419999999999999</v>
      </c>
    </row>
    <row r="21" spans="1:10" ht="18.600000000000001">
      <c r="A21" s="4">
        <v>108</v>
      </c>
      <c r="B21" s="4" t="s">
        <v>89</v>
      </c>
      <c r="C21" s="5">
        <v>11.75</v>
      </c>
      <c r="D21" s="5">
        <v>11.75</v>
      </c>
      <c r="E21" s="5">
        <v>12.05</v>
      </c>
      <c r="F21" s="5">
        <v>3.08</v>
      </c>
      <c r="G21" s="7">
        <v>0.35520000000000002</v>
      </c>
      <c r="H21" s="5">
        <v>17</v>
      </c>
      <c r="I21" s="5">
        <v>51</v>
      </c>
      <c r="J21" s="6">
        <v>0.31640000000000001</v>
      </c>
    </row>
    <row r="22" spans="1:10" ht="18.600000000000001">
      <c r="A22" s="4">
        <v>109</v>
      </c>
      <c r="B22" s="4" t="s">
        <v>90</v>
      </c>
      <c r="C22" s="5">
        <v>11</v>
      </c>
      <c r="D22" s="5">
        <v>10.85</v>
      </c>
      <c r="E22" s="5">
        <v>11.15</v>
      </c>
      <c r="F22" s="5">
        <v>3.14</v>
      </c>
      <c r="G22" s="7">
        <v>0.39950000000000002</v>
      </c>
      <c r="H22" s="5">
        <v>28</v>
      </c>
      <c r="I22" s="5">
        <v>94</v>
      </c>
      <c r="J22" s="6">
        <v>0.30709999999999998</v>
      </c>
    </row>
    <row r="23" spans="1:10" ht="18.600000000000001">
      <c r="A23" s="4">
        <v>110</v>
      </c>
      <c r="B23" s="4" t="s">
        <v>91</v>
      </c>
      <c r="C23" s="5">
        <v>9.99</v>
      </c>
      <c r="D23" s="5">
        <v>10.15</v>
      </c>
      <c r="E23" s="5">
        <v>10.4</v>
      </c>
      <c r="F23" s="5">
        <v>2.54</v>
      </c>
      <c r="G23" s="7">
        <v>0.34089999999999998</v>
      </c>
      <c r="H23" s="5">
        <v>255</v>
      </c>
      <c r="I23" s="5">
        <v>1317</v>
      </c>
      <c r="J23" s="6">
        <v>0.3115</v>
      </c>
    </row>
    <row r="24" spans="1:10" ht="18.600000000000001">
      <c r="A24" s="4">
        <v>111</v>
      </c>
      <c r="B24" s="4" t="s">
        <v>92</v>
      </c>
      <c r="C24" s="5">
        <v>9.3000000000000007</v>
      </c>
      <c r="D24" s="5">
        <v>9.35</v>
      </c>
      <c r="E24" s="5">
        <v>9.5500000000000007</v>
      </c>
      <c r="F24" s="5">
        <v>2.95</v>
      </c>
      <c r="G24" s="7">
        <v>0.46460000000000001</v>
      </c>
      <c r="H24" s="5">
        <v>72</v>
      </c>
      <c r="I24" s="5">
        <v>447</v>
      </c>
      <c r="J24" s="6">
        <v>0.30349999999999999</v>
      </c>
    </row>
    <row r="25" spans="1:10" ht="18.600000000000001">
      <c r="A25" s="4">
        <v>112</v>
      </c>
      <c r="B25" s="4" t="s">
        <v>93</v>
      </c>
      <c r="C25" s="5">
        <v>8.4700000000000006</v>
      </c>
      <c r="D25" s="5">
        <v>8.6</v>
      </c>
      <c r="E25" s="5">
        <v>8.75</v>
      </c>
      <c r="F25" s="5">
        <v>2.5499999999999998</v>
      </c>
      <c r="G25" s="7">
        <v>0.43070000000000003</v>
      </c>
      <c r="H25" s="5">
        <v>80</v>
      </c>
      <c r="I25" s="5">
        <v>588</v>
      </c>
      <c r="J25" s="6">
        <v>0.29830000000000001</v>
      </c>
    </row>
    <row r="26" spans="1:10" ht="18.600000000000001">
      <c r="A26" s="4">
        <v>113</v>
      </c>
      <c r="B26" s="4" t="s">
        <v>94</v>
      </c>
      <c r="C26" s="5">
        <v>7.55</v>
      </c>
      <c r="D26" s="5">
        <v>7.8</v>
      </c>
      <c r="E26" s="5">
        <v>8</v>
      </c>
      <c r="F26" s="5">
        <v>2.25</v>
      </c>
      <c r="G26" s="7">
        <v>0.42449999999999999</v>
      </c>
      <c r="H26" s="5">
        <v>26</v>
      </c>
      <c r="I26" s="5">
        <v>243</v>
      </c>
      <c r="J26" s="6">
        <v>0.2954</v>
      </c>
    </row>
    <row r="27" spans="1:10" ht="18.600000000000001">
      <c r="A27" s="4">
        <v>114</v>
      </c>
      <c r="B27" s="4" t="s">
        <v>95</v>
      </c>
      <c r="C27" s="5">
        <v>6.8</v>
      </c>
      <c r="D27" s="5">
        <v>7.1</v>
      </c>
      <c r="E27" s="5">
        <v>7.25</v>
      </c>
      <c r="F27" s="5">
        <v>2.4</v>
      </c>
      <c r="G27" s="7">
        <v>0.54549999999999998</v>
      </c>
      <c r="H27" s="5">
        <v>94</v>
      </c>
      <c r="I27" s="5">
        <v>200</v>
      </c>
      <c r="J27" s="6">
        <v>0.28999999999999998</v>
      </c>
    </row>
    <row r="28" spans="1:10" ht="18.600000000000001">
      <c r="A28" s="4">
        <v>115</v>
      </c>
      <c r="B28" s="4" t="s">
        <v>96</v>
      </c>
      <c r="C28" s="5">
        <v>6.1</v>
      </c>
      <c r="D28" s="5">
        <v>6.4</v>
      </c>
      <c r="E28" s="5">
        <v>6.55</v>
      </c>
      <c r="F28" s="5">
        <v>2</v>
      </c>
      <c r="G28" s="7">
        <v>0.48780000000000001</v>
      </c>
      <c r="H28" s="5">
        <v>97</v>
      </c>
      <c r="I28" s="5">
        <v>390</v>
      </c>
      <c r="J28" s="6">
        <v>0.28639999999999999</v>
      </c>
    </row>
    <row r="29" spans="1:10" ht="18.600000000000001">
      <c r="A29" s="4">
        <v>116</v>
      </c>
      <c r="B29" s="4" t="s">
        <v>97</v>
      </c>
      <c r="C29" s="5">
        <v>5.82</v>
      </c>
      <c r="D29" s="5">
        <v>5.75</v>
      </c>
      <c r="E29" s="5">
        <v>5.9</v>
      </c>
      <c r="F29" s="5">
        <v>2.2999999999999998</v>
      </c>
      <c r="G29" s="7">
        <v>0.65339999999999998</v>
      </c>
      <c r="H29" s="5">
        <v>106</v>
      </c>
      <c r="I29" s="5">
        <v>1054</v>
      </c>
      <c r="J29" s="6">
        <v>0.28389999999999999</v>
      </c>
    </row>
    <row r="30" spans="1:10" ht="18.600000000000001">
      <c r="A30" s="4">
        <v>117</v>
      </c>
      <c r="B30" s="4" t="s">
        <v>98</v>
      </c>
      <c r="C30" s="5">
        <v>5.15</v>
      </c>
      <c r="D30" s="5">
        <v>5.0999999999999996</v>
      </c>
      <c r="E30" s="5">
        <v>5.2</v>
      </c>
      <c r="F30" s="5">
        <v>2.15</v>
      </c>
      <c r="G30" s="7">
        <v>0.7167</v>
      </c>
      <c r="H30" s="5">
        <v>155</v>
      </c>
      <c r="I30" s="5">
        <v>332</v>
      </c>
      <c r="J30" s="6">
        <v>0.27560000000000001</v>
      </c>
    </row>
    <row r="31" spans="1:10" ht="18.600000000000001">
      <c r="A31" s="4">
        <v>118</v>
      </c>
      <c r="B31" s="4" t="s">
        <v>99</v>
      </c>
      <c r="C31" s="5">
        <v>4.55</v>
      </c>
      <c r="D31" s="5">
        <v>4.5</v>
      </c>
      <c r="E31" s="5">
        <v>4.6500000000000004</v>
      </c>
      <c r="F31" s="5">
        <v>1.96</v>
      </c>
      <c r="G31" s="7">
        <v>0.75680000000000003</v>
      </c>
      <c r="H31" s="5">
        <v>308</v>
      </c>
      <c r="I31" s="5">
        <v>124</v>
      </c>
      <c r="J31" s="6">
        <v>0.27529999999999999</v>
      </c>
    </row>
    <row r="32" spans="1:10" ht="18.600000000000001">
      <c r="A32" s="4">
        <v>119</v>
      </c>
      <c r="B32" s="4" t="s">
        <v>100</v>
      </c>
      <c r="C32" s="5">
        <v>4.05</v>
      </c>
      <c r="D32" s="5">
        <v>3.95</v>
      </c>
      <c r="E32" s="5">
        <v>4.05</v>
      </c>
      <c r="F32" s="5">
        <v>1.88</v>
      </c>
      <c r="G32" s="7">
        <v>0.86639999999999995</v>
      </c>
      <c r="H32" s="5">
        <v>176</v>
      </c>
      <c r="I32" s="5">
        <v>162</v>
      </c>
      <c r="J32" s="6">
        <v>0.26889999999999997</v>
      </c>
    </row>
    <row r="33" spans="1:10" ht="18.600000000000001">
      <c r="A33" s="4">
        <v>120</v>
      </c>
      <c r="B33" s="4" t="s">
        <v>101</v>
      </c>
      <c r="C33" s="5">
        <v>3.49</v>
      </c>
      <c r="D33" s="5">
        <v>3.45</v>
      </c>
      <c r="E33" s="5">
        <v>3.55</v>
      </c>
      <c r="F33" s="5">
        <v>1.74</v>
      </c>
      <c r="G33" s="7">
        <v>0.99429999999999996</v>
      </c>
      <c r="H33" s="5">
        <v>607</v>
      </c>
      <c r="I33" s="5">
        <v>4138</v>
      </c>
      <c r="J33" s="6">
        <v>0.2666</v>
      </c>
    </row>
    <row r="34" spans="1:10" ht="18.600000000000001">
      <c r="A34" s="4">
        <v>121</v>
      </c>
      <c r="B34" s="4" t="s">
        <v>102</v>
      </c>
      <c r="C34" s="5">
        <v>2.94</v>
      </c>
      <c r="D34" s="5">
        <v>3</v>
      </c>
      <c r="E34" s="5">
        <v>3.05</v>
      </c>
      <c r="F34" s="5">
        <v>1.43</v>
      </c>
      <c r="G34" s="7">
        <v>0.94699999999999995</v>
      </c>
      <c r="H34" s="5">
        <v>378</v>
      </c>
      <c r="I34" s="5">
        <v>303</v>
      </c>
      <c r="J34" s="6">
        <v>0.26169999999999999</v>
      </c>
    </row>
    <row r="35" spans="1:10" ht="18.600000000000001">
      <c r="A35" s="4">
        <v>122</v>
      </c>
      <c r="B35" s="4" t="s">
        <v>103</v>
      </c>
      <c r="C35" s="5">
        <v>2.5299999999999998</v>
      </c>
      <c r="D35" s="5">
        <v>2.57</v>
      </c>
      <c r="E35" s="5">
        <v>2.64</v>
      </c>
      <c r="F35" s="5">
        <v>1.38</v>
      </c>
      <c r="G35" s="7">
        <v>1.2</v>
      </c>
      <c r="H35" s="5">
        <v>166</v>
      </c>
      <c r="I35" s="5">
        <v>165</v>
      </c>
      <c r="J35" s="6">
        <v>0.2601</v>
      </c>
    </row>
    <row r="36" spans="1:10" ht="18.600000000000001">
      <c r="A36" s="4">
        <v>123</v>
      </c>
      <c r="B36" s="4" t="s">
        <v>104</v>
      </c>
      <c r="C36" s="5">
        <v>2.2400000000000002</v>
      </c>
      <c r="D36" s="5">
        <v>2.21</v>
      </c>
      <c r="E36" s="5">
        <v>2.2799999999999998</v>
      </c>
      <c r="F36" s="5">
        <v>1.32</v>
      </c>
      <c r="G36" s="7">
        <v>1.4348000000000001</v>
      </c>
      <c r="H36" s="5">
        <v>79</v>
      </c>
      <c r="I36" s="5">
        <v>284</v>
      </c>
      <c r="J36" s="6">
        <v>0.25940000000000002</v>
      </c>
    </row>
    <row r="37" spans="1:10" ht="18.600000000000001">
      <c r="A37" s="4">
        <v>124</v>
      </c>
      <c r="B37" s="4" t="s">
        <v>105</v>
      </c>
      <c r="C37" s="5">
        <v>1.7</v>
      </c>
      <c r="D37" s="5">
        <v>1.87</v>
      </c>
      <c r="E37" s="5">
        <v>1.96</v>
      </c>
      <c r="F37" s="5">
        <v>0.94</v>
      </c>
      <c r="G37" s="7">
        <v>1.2367999999999999</v>
      </c>
      <c r="H37" s="5">
        <v>13</v>
      </c>
      <c r="I37" s="5">
        <v>216</v>
      </c>
      <c r="J37" s="6">
        <v>0.25890000000000002</v>
      </c>
    </row>
    <row r="38" spans="1:10" ht="18.600000000000001">
      <c r="A38" s="4">
        <v>125</v>
      </c>
      <c r="B38" s="4" t="s">
        <v>106</v>
      </c>
      <c r="C38" s="5">
        <v>1.6</v>
      </c>
      <c r="D38" s="5">
        <v>1.56</v>
      </c>
      <c r="E38" s="5">
        <v>1.63</v>
      </c>
      <c r="F38" s="5">
        <v>1</v>
      </c>
      <c r="G38" s="7">
        <v>1.6667000000000001</v>
      </c>
      <c r="H38" s="5">
        <v>1320</v>
      </c>
      <c r="I38" s="5">
        <v>4799</v>
      </c>
      <c r="J38" s="6">
        <v>0.25490000000000002</v>
      </c>
    </row>
    <row r="39" spans="1:10" ht="18.600000000000001">
      <c r="A39" s="4">
        <v>130</v>
      </c>
      <c r="B39" s="4" t="s">
        <v>107</v>
      </c>
      <c r="C39" s="5">
        <v>0.62</v>
      </c>
      <c r="D39" s="5">
        <v>0.62</v>
      </c>
      <c r="E39" s="5">
        <v>0.65</v>
      </c>
      <c r="F39" s="5">
        <v>0.42</v>
      </c>
      <c r="G39" s="7">
        <v>2.1</v>
      </c>
      <c r="H39" s="5">
        <v>9062</v>
      </c>
      <c r="I39" s="5">
        <v>604</v>
      </c>
      <c r="J39" s="6">
        <v>0.25030000000000002</v>
      </c>
    </row>
    <row r="40" spans="1:10" ht="18.600000000000001">
      <c r="A40" s="4">
        <v>135</v>
      </c>
      <c r="B40" s="4" t="s">
        <v>108</v>
      </c>
      <c r="C40" s="5">
        <v>0.23</v>
      </c>
      <c r="D40" s="5">
        <v>0.21</v>
      </c>
      <c r="E40" s="5">
        <v>0.26</v>
      </c>
      <c r="F40" s="5">
        <v>0.13</v>
      </c>
      <c r="G40" s="7">
        <v>1.3</v>
      </c>
      <c r="H40" s="5">
        <v>6414</v>
      </c>
      <c r="I40" s="5">
        <v>176</v>
      </c>
      <c r="J40" s="6">
        <v>0.25590000000000002</v>
      </c>
    </row>
    <row r="41" spans="1:10" ht="16.8">
      <c r="A41" s="15" t="s">
        <v>45</v>
      </c>
      <c r="B41" s="16"/>
      <c r="C41" s="16"/>
      <c r="D41" s="16"/>
      <c r="E41" s="16"/>
      <c r="F41" s="16"/>
      <c r="G41" s="16"/>
      <c r="H41" s="16"/>
      <c r="I41" s="16"/>
      <c r="J41" s="16"/>
    </row>
    <row r="42" spans="1:10" ht="19.2">
      <c r="A42" s="1" t="s">
        <v>4</v>
      </c>
      <c r="B42" s="17" t="s">
        <v>5</v>
      </c>
      <c r="C42" s="17" t="s">
        <v>6</v>
      </c>
      <c r="D42" s="17" t="s">
        <v>7</v>
      </c>
      <c r="E42" s="17" t="s">
        <v>8</v>
      </c>
      <c r="F42" s="17" t="s">
        <v>9</v>
      </c>
      <c r="G42" s="17" t="s">
        <v>10</v>
      </c>
      <c r="H42" s="17" t="s">
        <v>11</v>
      </c>
      <c r="I42" s="17" t="s">
        <v>12</v>
      </c>
      <c r="J42" s="17" t="s">
        <v>13</v>
      </c>
    </row>
    <row r="43" spans="1:10">
      <c r="A43" s="2" t="s">
        <v>14</v>
      </c>
      <c r="B43" s="17"/>
      <c r="C43" s="17"/>
      <c r="D43" s="17"/>
      <c r="E43" s="17"/>
      <c r="F43" s="17"/>
      <c r="G43" s="17"/>
      <c r="H43" s="17"/>
      <c r="I43" s="17"/>
      <c r="J43" s="17"/>
    </row>
    <row r="44" spans="1:10">
      <c r="A44" s="3" t="s">
        <v>15</v>
      </c>
      <c r="B44" s="17"/>
      <c r="C44" s="17"/>
      <c r="D44" s="17"/>
      <c r="E44" s="17"/>
      <c r="F44" s="17"/>
      <c r="G44" s="17"/>
      <c r="H44" s="17"/>
      <c r="I44" s="17"/>
      <c r="J44" s="17"/>
    </row>
    <row r="45" spans="1:10" ht="18.600000000000001">
      <c r="A45" s="4">
        <v>70</v>
      </c>
      <c r="B45" s="4" t="s">
        <v>109</v>
      </c>
      <c r="C45" s="5">
        <v>0.09</v>
      </c>
      <c r="D45" s="5">
        <v>0</v>
      </c>
      <c r="E45" s="5">
        <v>0.05</v>
      </c>
      <c r="F45" s="5">
        <v>0</v>
      </c>
      <c r="G45" s="6">
        <v>0</v>
      </c>
      <c r="H45" s="5">
        <v>25</v>
      </c>
      <c r="I45" s="5">
        <v>116</v>
      </c>
      <c r="J45" s="6">
        <v>0.64449999999999996</v>
      </c>
    </row>
    <row r="46" spans="1:10" ht="18.600000000000001">
      <c r="A46" s="4">
        <v>75</v>
      </c>
      <c r="B46" s="4" t="s">
        <v>110</v>
      </c>
      <c r="C46" s="5">
        <v>0.08</v>
      </c>
      <c r="D46" s="5">
        <v>0.02</v>
      </c>
      <c r="E46" s="5">
        <v>7.0000000000000007E-2</v>
      </c>
      <c r="F46" s="5">
        <v>0</v>
      </c>
      <c r="G46" s="6">
        <v>0</v>
      </c>
      <c r="H46" s="5">
        <v>3</v>
      </c>
      <c r="I46" s="5">
        <v>260</v>
      </c>
      <c r="J46" s="6">
        <v>0.60550000000000004</v>
      </c>
    </row>
    <row r="47" spans="1:10" ht="18.600000000000001">
      <c r="A47" s="4">
        <v>80</v>
      </c>
      <c r="B47" s="4" t="s">
        <v>111</v>
      </c>
      <c r="C47" s="5">
        <v>0.17</v>
      </c>
      <c r="D47" s="5">
        <v>0.05</v>
      </c>
      <c r="E47" s="5">
        <v>0.1</v>
      </c>
      <c r="F47" s="5">
        <v>0</v>
      </c>
      <c r="G47" s="6">
        <v>0</v>
      </c>
      <c r="H47" s="5">
        <v>8</v>
      </c>
      <c r="I47" s="5">
        <v>33</v>
      </c>
      <c r="J47" s="6">
        <v>0.5645</v>
      </c>
    </row>
    <row r="48" spans="1:10" ht="18.600000000000001">
      <c r="A48" s="4">
        <v>85</v>
      </c>
      <c r="B48" s="4" t="s">
        <v>112</v>
      </c>
      <c r="C48" s="5">
        <v>0.22</v>
      </c>
      <c r="D48" s="5">
        <v>0.09</v>
      </c>
      <c r="E48" s="5">
        <v>0.14000000000000001</v>
      </c>
      <c r="F48" s="5">
        <v>0</v>
      </c>
      <c r="G48" s="6">
        <v>0</v>
      </c>
      <c r="H48" s="5">
        <v>4</v>
      </c>
      <c r="I48" s="5">
        <v>567</v>
      </c>
      <c r="J48" s="6">
        <v>0.51859999999999995</v>
      </c>
    </row>
    <row r="49" spans="1:10" ht="18.600000000000001">
      <c r="A49" s="4">
        <v>90</v>
      </c>
      <c r="B49" s="4" t="s">
        <v>113</v>
      </c>
      <c r="C49" s="5">
        <v>0.21</v>
      </c>
      <c r="D49" s="5">
        <v>0.15</v>
      </c>
      <c r="E49" s="5">
        <v>0.2</v>
      </c>
      <c r="F49" s="5">
        <v>-0.09</v>
      </c>
      <c r="G49" s="8">
        <v>-0.3</v>
      </c>
      <c r="H49" s="5">
        <v>1</v>
      </c>
      <c r="I49" s="5">
        <v>83</v>
      </c>
      <c r="J49" s="6">
        <v>0.4834</v>
      </c>
    </row>
    <row r="50" spans="1:10" ht="18.600000000000001">
      <c r="A50" s="4">
        <v>95</v>
      </c>
      <c r="B50" s="4" t="s">
        <v>114</v>
      </c>
      <c r="C50" s="5">
        <v>0.28999999999999998</v>
      </c>
      <c r="D50" s="5">
        <v>0.26</v>
      </c>
      <c r="E50" s="5">
        <v>0.31</v>
      </c>
      <c r="F50" s="5">
        <v>-0.16</v>
      </c>
      <c r="G50" s="8">
        <v>-0.35560000000000003</v>
      </c>
      <c r="H50" s="5">
        <v>8</v>
      </c>
      <c r="I50" s="5">
        <v>363</v>
      </c>
      <c r="J50" s="6">
        <v>0.439</v>
      </c>
    </row>
    <row r="51" spans="1:10" ht="18.600000000000001">
      <c r="A51" s="4">
        <v>96</v>
      </c>
      <c r="B51" s="4" t="s">
        <v>115</v>
      </c>
      <c r="C51" s="5">
        <v>0.31</v>
      </c>
      <c r="D51" s="5">
        <v>0.28999999999999998</v>
      </c>
      <c r="E51" s="5">
        <v>0.34</v>
      </c>
      <c r="F51" s="5">
        <v>-0.39</v>
      </c>
      <c r="G51" s="8">
        <v>-0.55710000000000004</v>
      </c>
      <c r="H51" s="5">
        <v>1</v>
      </c>
      <c r="I51" s="5">
        <v>181</v>
      </c>
      <c r="J51" s="6">
        <v>0.43020000000000003</v>
      </c>
    </row>
    <row r="52" spans="1:10" ht="18.600000000000001">
      <c r="A52" s="4">
        <v>97</v>
      </c>
      <c r="B52" s="4" t="s">
        <v>116</v>
      </c>
      <c r="C52" s="5">
        <v>0.36</v>
      </c>
      <c r="D52" s="5">
        <v>0.32</v>
      </c>
      <c r="E52" s="5">
        <v>0.38</v>
      </c>
      <c r="F52" s="5">
        <v>-0.2</v>
      </c>
      <c r="G52" s="8">
        <v>-0.35709999999999997</v>
      </c>
      <c r="H52" s="5">
        <v>18</v>
      </c>
      <c r="I52" s="5">
        <v>27</v>
      </c>
      <c r="J52" s="6">
        <v>0.42330000000000001</v>
      </c>
    </row>
    <row r="53" spans="1:10" ht="18.600000000000001">
      <c r="A53" s="4">
        <v>98</v>
      </c>
      <c r="B53" s="4" t="s">
        <v>117</v>
      </c>
      <c r="C53" s="5">
        <v>0.38</v>
      </c>
      <c r="D53" s="5">
        <v>0.36</v>
      </c>
      <c r="E53" s="5">
        <v>0.42</v>
      </c>
      <c r="F53" s="5">
        <v>-0.36</v>
      </c>
      <c r="G53" s="8">
        <v>-0.48649999999999999</v>
      </c>
      <c r="H53" s="5">
        <v>1</v>
      </c>
      <c r="I53" s="5">
        <v>144</v>
      </c>
      <c r="J53" s="6">
        <v>0.41549999999999998</v>
      </c>
    </row>
    <row r="54" spans="1:10" ht="18.600000000000001">
      <c r="A54" s="4">
        <v>98.5</v>
      </c>
      <c r="B54" s="4" t="s">
        <v>118</v>
      </c>
      <c r="C54" s="5">
        <v>0.84</v>
      </c>
      <c r="D54" s="5">
        <v>0.38</v>
      </c>
      <c r="E54" s="5">
        <v>0.44</v>
      </c>
      <c r="F54" s="5">
        <v>0</v>
      </c>
      <c r="G54" s="6">
        <v>0</v>
      </c>
      <c r="H54" s="5">
        <v>26</v>
      </c>
      <c r="I54" s="5">
        <v>36</v>
      </c>
      <c r="J54" s="6">
        <v>0.41160000000000002</v>
      </c>
    </row>
    <row r="55" spans="1:10" ht="18.600000000000001">
      <c r="A55" s="4">
        <v>99</v>
      </c>
      <c r="B55" s="4" t="s">
        <v>119</v>
      </c>
      <c r="C55" s="5">
        <v>0.56000000000000005</v>
      </c>
      <c r="D55" s="5">
        <v>0.4</v>
      </c>
      <c r="E55" s="5">
        <v>0.46</v>
      </c>
      <c r="F55" s="5">
        <v>-0.1</v>
      </c>
      <c r="G55" s="8">
        <v>-0.1515</v>
      </c>
      <c r="H55" s="5">
        <v>3</v>
      </c>
      <c r="I55" s="5">
        <v>819</v>
      </c>
      <c r="J55" s="6">
        <v>0.40699999999999997</v>
      </c>
    </row>
    <row r="56" spans="1:10" ht="18.600000000000001">
      <c r="A56" s="4">
        <v>99.5</v>
      </c>
      <c r="B56" s="4" t="s">
        <v>120</v>
      </c>
      <c r="C56" s="5">
        <v>0.87</v>
      </c>
      <c r="D56" s="5">
        <v>0.42</v>
      </c>
      <c r="E56" s="5">
        <v>0.47</v>
      </c>
      <c r="F56" s="5">
        <v>0</v>
      </c>
      <c r="G56" s="6">
        <v>0</v>
      </c>
      <c r="H56" s="5">
        <v>16</v>
      </c>
      <c r="I56" s="5">
        <v>161</v>
      </c>
      <c r="J56" s="6">
        <v>0.40039999999999998</v>
      </c>
    </row>
    <row r="57" spans="1:10" ht="18.600000000000001">
      <c r="A57" s="4">
        <v>100</v>
      </c>
      <c r="B57" s="4" t="s">
        <v>121</v>
      </c>
      <c r="C57" s="5">
        <v>0.48</v>
      </c>
      <c r="D57" s="5">
        <v>0.45</v>
      </c>
      <c r="E57" s="5">
        <v>0.5</v>
      </c>
      <c r="F57" s="5">
        <v>-0.25</v>
      </c>
      <c r="G57" s="8">
        <v>-0.34250000000000003</v>
      </c>
      <c r="H57" s="5">
        <v>4982</v>
      </c>
      <c r="I57" s="5">
        <v>5120</v>
      </c>
      <c r="J57" s="6">
        <v>0.39750000000000002</v>
      </c>
    </row>
    <row r="58" spans="1:10" ht="18.600000000000001">
      <c r="A58" s="4">
        <v>101</v>
      </c>
      <c r="B58" s="4" t="s">
        <v>122</v>
      </c>
      <c r="C58" s="5">
        <v>1.02</v>
      </c>
      <c r="D58" s="5">
        <v>0.5</v>
      </c>
      <c r="E58" s="5">
        <v>0.56000000000000005</v>
      </c>
      <c r="F58" s="5">
        <v>0</v>
      </c>
      <c r="G58" s="6">
        <v>0</v>
      </c>
      <c r="H58" s="5">
        <v>935</v>
      </c>
      <c r="I58" s="5">
        <v>848</v>
      </c>
      <c r="J58" s="6">
        <v>0.39090000000000003</v>
      </c>
    </row>
    <row r="59" spans="1:10" ht="18.600000000000001">
      <c r="A59" s="4">
        <v>102</v>
      </c>
      <c r="B59" s="4" t="s">
        <v>123</v>
      </c>
      <c r="C59" s="5">
        <v>0.59</v>
      </c>
      <c r="D59" s="5">
        <v>0.56000000000000005</v>
      </c>
      <c r="E59" s="5">
        <v>0.62</v>
      </c>
      <c r="F59" s="5">
        <v>-0.51</v>
      </c>
      <c r="G59" s="8">
        <v>-0.46360000000000001</v>
      </c>
      <c r="H59" s="5">
        <v>6</v>
      </c>
      <c r="I59" s="5">
        <v>134</v>
      </c>
      <c r="J59" s="6">
        <v>0.3831</v>
      </c>
    </row>
    <row r="60" spans="1:10" ht="18.600000000000001">
      <c r="A60" s="4">
        <v>103</v>
      </c>
      <c r="B60" s="4" t="s">
        <v>124</v>
      </c>
      <c r="C60" s="5">
        <v>0.67</v>
      </c>
      <c r="D60" s="5">
        <v>0.63</v>
      </c>
      <c r="E60" s="5">
        <v>0.69</v>
      </c>
      <c r="F60" s="5">
        <v>-0.42</v>
      </c>
      <c r="G60" s="8">
        <v>-0.38529999999999998</v>
      </c>
      <c r="H60" s="5">
        <v>115</v>
      </c>
      <c r="I60" s="5">
        <v>136</v>
      </c>
      <c r="J60" s="6">
        <v>0.376</v>
      </c>
    </row>
    <row r="61" spans="1:10" ht="18.600000000000001">
      <c r="A61" s="4">
        <v>104</v>
      </c>
      <c r="B61" s="4" t="s">
        <v>125</v>
      </c>
      <c r="C61" s="5">
        <v>0.74</v>
      </c>
      <c r="D61" s="5">
        <v>0.71</v>
      </c>
      <c r="E61" s="5">
        <v>0.77</v>
      </c>
      <c r="F61" s="5">
        <v>-0.4</v>
      </c>
      <c r="G61" s="8">
        <v>-0.35089999999999999</v>
      </c>
      <c r="H61" s="5">
        <v>117</v>
      </c>
      <c r="I61" s="5">
        <v>81</v>
      </c>
      <c r="J61" s="6">
        <v>0.36890000000000001</v>
      </c>
    </row>
    <row r="62" spans="1:10" ht="18.600000000000001">
      <c r="A62" s="4">
        <v>105</v>
      </c>
      <c r="B62" s="4" t="s">
        <v>126</v>
      </c>
      <c r="C62" s="5">
        <v>0.85</v>
      </c>
      <c r="D62" s="5">
        <v>0.85</v>
      </c>
      <c r="E62" s="5">
        <v>0.88</v>
      </c>
      <c r="F62" s="5">
        <v>-0.41</v>
      </c>
      <c r="G62" s="8">
        <v>-0.32540000000000002</v>
      </c>
      <c r="H62" s="5">
        <v>145</v>
      </c>
      <c r="I62" s="5">
        <v>320</v>
      </c>
      <c r="J62" s="6">
        <v>0.36480000000000001</v>
      </c>
    </row>
    <row r="63" spans="1:10" ht="18.600000000000001">
      <c r="A63" s="4">
        <v>106</v>
      </c>
      <c r="B63" s="4" t="s">
        <v>127</v>
      </c>
      <c r="C63" s="5">
        <v>0.98</v>
      </c>
      <c r="D63" s="5">
        <v>0.9</v>
      </c>
      <c r="E63" s="5">
        <v>0.97</v>
      </c>
      <c r="F63" s="5">
        <v>-0.5</v>
      </c>
      <c r="G63" s="8">
        <v>-0.33779999999999999</v>
      </c>
      <c r="H63" s="5">
        <v>31</v>
      </c>
      <c r="I63" s="5">
        <v>83</v>
      </c>
      <c r="J63" s="6">
        <v>0.35649999999999998</v>
      </c>
    </row>
    <row r="64" spans="1:10" ht="18.600000000000001">
      <c r="A64" s="4">
        <v>107</v>
      </c>
      <c r="B64" s="4" t="s">
        <v>128</v>
      </c>
      <c r="C64" s="5">
        <v>1.07</v>
      </c>
      <c r="D64" s="5">
        <v>1.02</v>
      </c>
      <c r="E64" s="5">
        <v>1.0900000000000001</v>
      </c>
      <c r="F64" s="5">
        <v>-0.51</v>
      </c>
      <c r="G64" s="8">
        <v>-0.32279999999999998</v>
      </c>
      <c r="H64" s="5">
        <v>8</v>
      </c>
      <c r="I64" s="5">
        <v>202</v>
      </c>
      <c r="J64" s="6">
        <v>0.3503</v>
      </c>
    </row>
    <row r="65" spans="1:10" ht="18.600000000000001">
      <c r="A65" s="4">
        <v>108</v>
      </c>
      <c r="B65" s="4" t="s">
        <v>129</v>
      </c>
      <c r="C65" s="5">
        <v>1.19</v>
      </c>
      <c r="D65" s="5">
        <v>1.1599999999999999</v>
      </c>
      <c r="E65" s="5">
        <v>1.23</v>
      </c>
      <c r="F65" s="5">
        <v>-0.64</v>
      </c>
      <c r="G65" s="8">
        <v>-0.34970000000000001</v>
      </c>
      <c r="H65" s="5">
        <v>30</v>
      </c>
      <c r="I65" s="5">
        <v>155</v>
      </c>
      <c r="J65" s="6">
        <v>0.34499999999999997</v>
      </c>
    </row>
    <row r="66" spans="1:10" ht="18.600000000000001">
      <c r="A66" s="4">
        <v>109</v>
      </c>
      <c r="B66" s="4" t="s">
        <v>130</v>
      </c>
      <c r="C66" s="5">
        <v>1.37</v>
      </c>
      <c r="D66" s="5">
        <v>1.32</v>
      </c>
      <c r="E66" s="5">
        <v>1.39</v>
      </c>
      <c r="F66" s="5">
        <v>-0.83</v>
      </c>
      <c r="G66" s="8">
        <v>-0.37730000000000002</v>
      </c>
      <c r="H66" s="5">
        <v>2</v>
      </c>
      <c r="I66" s="5">
        <v>207</v>
      </c>
      <c r="J66" s="6">
        <v>0.34010000000000001</v>
      </c>
    </row>
    <row r="67" spans="1:10" ht="18.600000000000001">
      <c r="A67" s="4">
        <v>110</v>
      </c>
      <c r="B67" s="4" t="s">
        <v>131</v>
      </c>
      <c r="C67" s="5">
        <v>1.54</v>
      </c>
      <c r="D67" s="5">
        <v>1.49</v>
      </c>
      <c r="E67" s="5">
        <v>1.57</v>
      </c>
      <c r="F67" s="5">
        <v>-0.89</v>
      </c>
      <c r="G67" s="8">
        <v>-0.36630000000000001</v>
      </c>
      <c r="H67" s="5">
        <v>29</v>
      </c>
      <c r="I67" s="5">
        <v>701</v>
      </c>
      <c r="J67" s="6">
        <v>0.3352</v>
      </c>
    </row>
    <row r="68" spans="1:10" ht="18.600000000000001">
      <c r="A68" s="4">
        <v>111</v>
      </c>
      <c r="B68" s="4" t="s">
        <v>132</v>
      </c>
      <c r="C68" s="5">
        <v>1.8</v>
      </c>
      <c r="D68" s="5">
        <v>1.7</v>
      </c>
      <c r="E68" s="5">
        <v>1.77</v>
      </c>
      <c r="F68" s="5">
        <v>-0.84</v>
      </c>
      <c r="G68" s="8">
        <v>-0.31819999999999998</v>
      </c>
      <c r="H68" s="5">
        <v>28</v>
      </c>
      <c r="I68" s="5">
        <v>1150</v>
      </c>
      <c r="J68" s="6">
        <v>0.33050000000000002</v>
      </c>
    </row>
    <row r="69" spans="1:10" ht="18.600000000000001">
      <c r="A69" s="4">
        <v>112</v>
      </c>
      <c r="B69" s="4" t="s">
        <v>133</v>
      </c>
      <c r="C69" s="5">
        <v>2</v>
      </c>
      <c r="D69" s="5">
        <v>1.92</v>
      </c>
      <c r="E69" s="5">
        <v>1.99</v>
      </c>
      <c r="F69" s="5">
        <v>-1.1000000000000001</v>
      </c>
      <c r="G69" s="8">
        <v>-0.3548</v>
      </c>
      <c r="H69" s="5">
        <v>27</v>
      </c>
      <c r="I69" s="5">
        <v>185</v>
      </c>
      <c r="J69" s="6">
        <v>0.32540000000000002</v>
      </c>
    </row>
    <row r="70" spans="1:10" ht="18.600000000000001">
      <c r="A70" s="4">
        <v>113</v>
      </c>
      <c r="B70" s="4" t="s">
        <v>134</v>
      </c>
      <c r="C70" s="5">
        <v>2.2799999999999998</v>
      </c>
      <c r="D70" s="5">
        <v>2.1800000000000002</v>
      </c>
      <c r="E70" s="5">
        <v>2.2599999999999998</v>
      </c>
      <c r="F70" s="5">
        <v>-0.87</v>
      </c>
      <c r="G70" s="8">
        <v>-0.2762</v>
      </c>
      <c r="H70" s="5">
        <v>58</v>
      </c>
      <c r="I70" s="5">
        <v>127</v>
      </c>
      <c r="J70" s="6">
        <v>0.32250000000000001</v>
      </c>
    </row>
    <row r="71" spans="1:10" ht="18.600000000000001">
      <c r="A71" s="4">
        <v>114</v>
      </c>
      <c r="B71" s="4" t="s">
        <v>135</v>
      </c>
      <c r="C71" s="5">
        <v>2.52</v>
      </c>
      <c r="D71" s="5">
        <v>2.46</v>
      </c>
      <c r="E71" s="5">
        <v>2.54</v>
      </c>
      <c r="F71" s="5">
        <v>-1.44</v>
      </c>
      <c r="G71" s="8">
        <v>-0.36359999999999998</v>
      </c>
      <c r="H71" s="5">
        <v>54</v>
      </c>
      <c r="I71" s="5">
        <v>177</v>
      </c>
      <c r="J71" s="6">
        <v>0.31840000000000002</v>
      </c>
    </row>
    <row r="72" spans="1:10" ht="18.600000000000001">
      <c r="A72" s="4">
        <v>115</v>
      </c>
      <c r="B72" s="4" t="s">
        <v>136</v>
      </c>
      <c r="C72" s="5">
        <v>2.8</v>
      </c>
      <c r="D72" s="5">
        <v>2.76</v>
      </c>
      <c r="E72" s="5">
        <v>2.84</v>
      </c>
      <c r="F72" s="5">
        <v>-1.3</v>
      </c>
      <c r="G72" s="8">
        <v>-0.31709999999999999</v>
      </c>
      <c r="H72" s="5">
        <v>25</v>
      </c>
      <c r="I72" s="5">
        <v>174</v>
      </c>
      <c r="J72" s="6">
        <v>0.3135</v>
      </c>
    </row>
    <row r="73" spans="1:10" ht="18.600000000000001">
      <c r="A73" s="4">
        <v>116</v>
      </c>
      <c r="B73" s="4" t="s">
        <v>137</v>
      </c>
      <c r="C73" s="5">
        <v>3.4</v>
      </c>
      <c r="D73" s="5">
        <v>3.1</v>
      </c>
      <c r="E73" s="5">
        <v>3.25</v>
      </c>
      <c r="F73" s="5">
        <v>-1.18</v>
      </c>
      <c r="G73" s="8">
        <v>-0.2576</v>
      </c>
      <c r="H73" s="5">
        <v>45</v>
      </c>
      <c r="I73" s="5">
        <v>50</v>
      </c>
      <c r="J73" s="6">
        <v>0.3145</v>
      </c>
    </row>
    <row r="74" spans="1:10" ht="18.600000000000001">
      <c r="A74" s="4">
        <v>117</v>
      </c>
      <c r="B74" s="4" t="s">
        <v>138</v>
      </c>
      <c r="C74" s="5">
        <v>3.65</v>
      </c>
      <c r="D74" s="5">
        <v>3.5</v>
      </c>
      <c r="E74" s="5">
        <v>3.6</v>
      </c>
      <c r="F74" s="5">
        <v>-1.65</v>
      </c>
      <c r="G74" s="8">
        <v>-0.31130000000000002</v>
      </c>
      <c r="H74" s="5">
        <v>70</v>
      </c>
      <c r="I74" s="5">
        <v>63</v>
      </c>
      <c r="J74" s="6">
        <v>0.30880000000000002</v>
      </c>
    </row>
    <row r="75" spans="1:10" ht="18.600000000000001">
      <c r="A75" s="4">
        <v>118</v>
      </c>
      <c r="B75" s="4" t="s">
        <v>139</v>
      </c>
      <c r="C75" s="5">
        <v>3.95</v>
      </c>
      <c r="D75" s="5">
        <v>3.9</v>
      </c>
      <c r="E75" s="5">
        <v>4.05</v>
      </c>
      <c r="F75" s="5">
        <v>-2.2000000000000002</v>
      </c>
      <c r="G75" s="8">
        <v>-0.35770000000000002</v>
      </c>
      <c r="H75" s="5">
        <v>95</v>
      </c>
      <c r="I75" s="5">
        <v>67</v>
      </c>
      <c r="J75" s="6">
        <v>0.30790000000000001</v>
      </c>
    </row>
    <row r="76" spans="1:10" ht="18.600000000000001">
      <c r="A76" s="4">
        <v>119</v>
      </c>
      <c r="B76" s="4" t="s">
        <v>140</v>
      </c>
      <c r="C76" s="5">
        <v>4.5</v>
      </c>
      <c r="D76" s="5">
        <v>4.3499999999999996</v>
      </c>
      <c r="E76" s="5">
        <v>4.5</v>
      </c>
      <c r="F76" s="5">
        <v>-3.18</v>
      </c>
      <c r="G76" s="8">
        <v>-0.41410000000000002</v>
      </c>
      <c r="H76" s="5">
        <v>25</v>
      </c>
      <c r="I76" s="5">
        <v>11</v>
      </c>
      <c r="J76" s="6">
        <v>0.30459999999999998</v>
      </c>
    </row>
    <row r="77" spans="1:10" ht="18.600000000000001">
      <c r="A77" s="4">
        <v>120</v>
      </c>
      <c r="B77" s="4" t="s">
        <v>141</v>
      </c>
      <c r="C77" s="5">
        <v>4.8499999999999996</v>
      </c>
      <c r="D77" s="5">
        <v>4.8499999999999996</v>
      </c>
      <c r="E77" s="5">
        <v>5</v>
      </c>
      <c r="F77" s="5">
        <v>-2.2000000000000002</v>
      </c>
      <c r="G77" s="8">
        <v>-0.31209999999999999</v>
      </c>
      <c r="H77" s="5">
        <v>27</v>
      </c>
      <c r="I77" s="5">
        <v>89</v>
      </c>
      <c r="J77" s="6">
        <v>0.30230000000000001</v>
      </c>
    </row>
    <row r="78" spans="1:10" ht="18.600000000000001">
      <c r="A78" s="4">
        <v>121</v>
      </c>
      <c r="B78" s="4" t="s">
        <v>142</v>
      </c>
      <c r="C78" s="5">
        <v>5.6</v>
      </c>
      <c r="D78" s="5">
        <v>5.4</v>
      </c>
      <c r="E78" s="5">
        <v>5.55</v>
      </c>
      <c r="F78" s="5">
        <v>-2.59</v>
      </c>
      <c r="G78" s="8">
        <v>-0.31619999999999998</v>
      </c>
      <c r="H78" s="5">
        <v>20</v>
      </c>
      <c r="I78" s="5">
        <v>58</v>
      </c>
      <c r="J78" s="6">
        <v>0.30099999999999999</v>
      </c>
    </row>
    <row r="79" spans="1:10" ht="18.600000000000001">
      <c r="A79" s="4">
        <v>122</v>
      </c>
      <c r="B79" s="4" t="s">
        <v>143</v>
      </c>
      <c r="C79" s="5">
        <v>6.06</v>
      </c>
      <c r="D79" s="5">
        <v>5.95</v>
      </c>
      <c r="E79" s="5">
        <v>6.1</v>
      </c>
      <c r="F79" s="5">
        <v>-3.71</v>
      </c>
      <c r="G79" s="8">
        <v>-0.37969999999999998</v>
      </c>
      <c r="H79" s="5">
        <v>1</v>
      </c>
      <c r="I79" s="5">
        <v>10</v>
      </c>
      <c r="J79" s="6">
        <v>0.29749999999999999</v>
      </c>
    </row>
    <row r="80" spans="1:10" ht="18.600000000000001">
      <c r="A80" s="4">
        <v>123</v>
      </c>
      <c r="B80" s="4" t="s">
        <v>144</v>
      </c>
      <c r="C80" s="5">
        <v>11.34</v>
      </c>
      <c r="D80" s="5">
        <v>6.6</v>
      </c>
      <c r="E80" s="5">
        <v>6.75</v>
      </c>
      <c r="F80" s="5">
        <v>0</v>
      </c>
      <c r="G80" s="6">
        <v>0</v>
      </c>
      <c r="H80" s="5">
        <v>4</v>
      </c>
      <c r="I80" s="5">
        <v>16</v>
      </c>
      <c r="J80" s="6">
        <v>0.29830000000000001</v>
      </c>
    </row>
    <row r="81" spans="1:10" ht="18.600000000000001">
      <c r="A81" s="4">
        <v>124</v>
      </c>
      <c r="B81" s="4" t="s">
        <v>145</v>
      </c>
      <c r="C81" s="5">
        <v>7.66</v>
      </c>
      <c r="D81" s="5">
        <v>7.25</v>
      </c>
      <c r="E81" s="5">
        <v>7.4</v>
      </c>
      <c r="F81" s="5">
        <v>-5.55</v>
      </c>
      <c r="G81" s="8">
        <v>-0.42009999999999997</v>
      </c>
      <c r="H81" s="5">
        <v>35</v>
      </c>
      <c r="I81" s="5">
        <v>12</v>
      </c>
      <c r="J81" s="6">
        <v>0.29709999999999998</v>
      </c>
    </row>
    <row r="82" spans="1:10" ht="18.600000000000001">
      <c r="A82" s="4">
        <v>125</v>
      </c>
      <c r="B82" s="4" t="s">
        <v>146</v>
      </c>
      <c r="C82" s="5">
        <v>8.67</v>
      </c>
      <c r="D82" s="5">
        <v>7.95</v>
      </c>
      <c r="E82" s="5">
        <v>8.1</v>
      </c>
      <c r="F82" s="5">
        <v>-1.92</v>
      </c>
      <c r="G82" s="8">
        <v>-0.18129999999999999</v>
      </c>
      <c r="H82" s="5">
        <v>6</v>
      </c>
      <c r="I82" s="5">
        <v>72</v>
      </c>
      <c r="J82" s="6">
        <v>0.29709999999999998</v>
      </c>
    </row>
    <row r="83" spans="1:10" ht="18.600000000000001">
      <c r="A83" s="4">
        <v>130</v>
      </c>
      <c r="B83" s="4" t="s">
        <v>147</v>
      </c>
      <c r="C83" s="5">
        <v>12.1</v>
      </c>
      <c r="D83" s="5">
        <v>11.95</v>
      </c>
      <c r="E83" s="5">
        <v>12.2</v>
      </c>
      <c r="F83" s="5">
        <v>-3.22</v>
      </c>
      <c r="G83" s="8">
        <v>-0.2102</v>
      </c>
      <c r="H83" s="5">
        <v>21</v>
      </c>
      <c r="I83" s="5">
        <v>17</v>
      </c>
      <c r="J83" s="6">
        <v>0.3165</v>
      </c>
    </row>
    <row r="84" spans="1:10" ht="18.600000000000001">
      <c r="A84" s="4">
        <v>135</v>
      </c>
      <c r="B84" s="4" t="s">
        <v>148</v>
      </c>
      <c r="C84" s="5">
        <v>21.29</v>
      </c>
      <c r="D84" s="5">
        <v>16.55</v>
      </c>
      <c r="E84" s="5">
        <v>16.8</v>
      </c>
      <c r="F84" s="5">
        <v>0</v>
      </c>
      <c r="G84" s="6">
        <v>0</v>
      </c>
      <c r="H84" s="5">
        <v>6</v>
      </c>
      <c r="I84" s="5">
        <v>16</v>
      </c>
      <c r="J84" s="6">
        <v>0.35010000000000002</v>
      </c>
    </row>
  </sheetData>
  <mergeCells count="20">
    <mergeCell ref="A3:J3"/>
    <mergeCell ref="B4:B6"/>
    <mergeCell ref="C4:C6"/>
    <mergeCell ref="D4:D6"/>
    <mergeCell ref="E4:E6"/>
    <mergeCell ref="F4:F6"/>
    <mergeCell ref="G4:G6"/>
    <mergeCell ref="H4:H6"/>
    <mergeCell ref="I4:I6"/>
    <mergeCell ref="J4:J6"/>
    <mergeCell ref="A41:J41"/>
    <mergeCell ref="B42:B44"/>
    <mergeCell ref="C42:C44"/>
    <mergeCell ref="D42:D44"/>
    <mergeCell ref="E42:E44"/>
    <mergeCell ref="F42:F44"/>
    <mergeCell ref="G42:G44"/>
    <mergeCell ref="H42:H44"/>
    <mergeCell ref="I42:I44"/>
    <mergeCell ref="J42:J44"/>
  </mergeCells>
  <hyperlinks>
    <hyperlink ref="A7" r:id="rId1" display="http://finance.yahoo.com/q/op?s=AAPL&amp;strike=90.00" xr:uid="{00000000-0004-0000-0100-000000000000}"/>
    <hyperlink ref="B7" r:id="rId2" xr:uid="{00000000-0004-0000-0100-000001000000}"/>
    <hyperlink ref="A8" r:id="rId3" display="http://finance.yahoo.com/q/op?s=AAPL&amp;strike=95.00" xr:uid="{00000000-0004-0000-0100-000002000000}"/>
    <hyperlink ref="B8" r:id="rId4" xr:uid="{00000000-0004-0000-0100-000003000000}"/>
    <hyperlink ref="A9" r:id="rId5" display="http://finance.yahoo.com/q/op?s=AAPL&amp;strike=96.00" xr:uid="{00000000-0004-0000-0100-000004000000}"/>
    <hyperlink ref="B9" r:id="rId6" xr:uid="{00000000-0004-0000-0100-000005000000}"/>
    <hyperlink ref="A10" r:id="rId7" display="http://finance.yahoo.com/q/op?s=AAPL&amp;strike=97.00" xr:uid="{00000000-0004-0000-0100-000006000000}"/>
    <hyperlink ref="B10" r:id="rId8" xr:uid="{00000000-0004-0000-0100-000007000000}"/>
    <hyperlink ref="A11" r:id="rId9" display="http://finance.yahoo.com/q/op?s=AAPL&amp;strike=98.50" xr:uid="{00000000-0004-0000-0100-000008000000}"/>
    <hyperlink ref="B11" r:id="rId10" xr:uid="{00000000-0004-0000-0100-000009000000}"/>
    <hyperlink ref="A12" r:id="rId11" display="http://finance.yahoo.com/q/op?s=AAPL&amp;strike=99.50" xr:uid="{00000000-0004-0000-0100-00000A000000}"/>
    <hyperlink ref="B12" r:id="rId12" xr:uid="{00000000-0004-0000-0100-00000B000000}"/>
    <hyperlink ref="A13" r:id="rId13" display="http://finance.yahoo.com/q/op?s=AAPL&amp;strike=100.00" xr:uid="{00000000-0004-0000-0100-00000C000000}"/>
    <hyperlink ref="B13" r:id="rId14" xr:uid="{00000000-0004-0000-0100-00000D000000}"/>
    <hyperlink ref="A14" r:id="rId15" display="http://finance.yahoo.com/q/op?s=AAPL&amp;strike=101.00" xr:uid="{00000000-0004-0000-0100-00000E000000}"/>
    <hyperlink ref="B14" r:id="rId16" xr:uid="{00000000-0004-0000-0100-00000F000000}"/>
    <hyperlink ref="A15" r:id="rId17" display="http://finance.yahoo.com/q/op?s=AAPL&amp;strike=102.00" xr:uid="{00000000-0004-0000-0100-000010000000}"/>
    <hyperlink ref="B15" r:id="rId18" xr:uid="{00000000-0004-0000-0100-000011000000}"/>
    <hyperlink ref="A16" r:id="rId19" display="http://finance.yahoo.com/q/op?s=AAPL&amp;strike=103.00" xr:uid="{00000000-0004-0000-0100-000012000000}"/>
    <hyperlink ref="B16" r:id="rId20" xr:uid="{00000000-0004-0000-0100-000013000000}"/>
    <hyperlink ref="A17" r:id="rId21" display="http://finance.yahoo.com/q/op?s=AAPL&amp;strike=104.00" xr:uid="{00000000-0004-0000-0100-000014000000}"/>
    <hyperlink ref="B17" r:id="rId22" xr:uid="{00000000-0004-0000-0100-000015000000}"/>
    <hyperlink ref="A18" r:id="rId23" display="http://finance.yahoo.com/q/op?s=AAPL&amp;strike=105.00" xr:uid="{00000000-0004-0000-0100-000016000000}"/>
    <hyperlink ref="B18" r:id="rId24" xr:uid="{00000000-0004-0000-0100-000017000000}"/>
    <hyperlink ref="A19" r:id="rId25" display="http://finance.yahoo.com/q/op?s=AAPL&amp;strike=106.00" xr:uid="{00000000-0004-0000-0100-000018000000}"/>
    <hyperlink ref="B19" r:id="rId26" xr:uid="{00000000-0004-0000-0100-000019000000}"/>
    <hyperlink ref="A20" r:id="rId27" display="http://finance.yahoo.com/q/op?s=AAPL&amp;strike=107.00" xr:uid="{00000000-0004-0000-0100-00001A000000}"/>
    <hyperlink ref="B20" r:id="rId28" xr:uid="{00000000-0004-0000-0100-00001B000000}"/>
    <hyperlink ref="A21" r:id="rId29" display="http://finance.yahoo.com/q/op?s=AAPL&amp;strike=108.00" xr:uid="{00000000-0004-0000-0100-00001C000000}"/>
    <hyperlink ref="B21" r:id="rId30" xr:uid="{00000000-0004-0000-0100-00001D000000}"/>
    <hyperlink ref="A22" r:id="rId31" display="http://finance.yahoo.com/q/op?s=AAPL&amp;strike=109.00" xr:uid="{00000000-0004-0000-0100-00001E000000}"/>
    <hyperlink ref="B22" r:id="rId32" xr:uid="{00000000-0004-0000-0100-00001F000000}"/>
    <hyperlink ref="A23" r:id="rId33" display="http://finance.yahoo.com/q/op?s=AAPL&amp;strike=110.00" xr:uid="{00000000-0004-0000-0100-000020000000}"/>
    <hyperlink ref="B23" r:id="rId34" xr:uid="{00000000-0004-0000-0100-000021000000}"/>
    <hyperlink ref="A24" r:id="rId35" display="http://finance.yahoo.com/q/op?s=AAPL&amp;strike=111.00" xr:uid="{00000000-0004-0000-0100-000022000000}"/>
    <hyperlink ref="B24" r:id="rId36" xr:uid="{00000000-0004-0000-0100-000023000000}"/>
    <hyperlink ref="A25" r:id="rId37" display="http://finance.yahoo.com/q/op?s=AAPL&amp;strike=112.00" xr:uid="{00000000-0004-0000-0100-000024000000}"/>
    <hyperlink ref="B25" r:id="rId38" xr:uid="{00000000-0004-0000-0100-000025000000}"/>
    <hyperlink ref="A26" r:id="rId39" display="http://finance.yahoo.com/q/op?s=AAPL&amp;strike=113.00" xr:uid="{00000000-0004-0000-0100-000026000000}"/>
    <hyperlink ref="B26" r:id="rId40" xr:uid="{00000000-0004-0000-0100-000027000000}"/>
    <hyperlink ref="A27" r:id="rId41" display="http://finance.yahoo.com/q/op?s=AAPL&amp;strike=114.00" xr:uid="{00000000-0004-0000-0100-000028000000}"/>
    <hyperlink ref="B27" r:id="rId42" xr:uid="{00000000-0004-0000-0100-000029000000}"/>
    <hyperlink ref="A28" r:id="rId43" display="http://finance.yahoo.com/q/op?s=AAPL&amp;strike=115.00" xr:uid="{00000000-0004-0000-0100-00002A000000}"/>
    <hyperlink ref="B28" r:id="rId44" xr:uid="{00000000-0004-0000-0100-00002B000000}"/>
    <hyperlink ref="A29" r:id="rId45" display="http://finance.yahoo.com/q/op?s=AAPL&amp;strike=116.00" xr:uid="{00000000-0004-0000-0100-00002C000000}"/>
    <hyperlink ref="B29" r:id="rId46" xr:uid="{00000000-0004-0000-0100-00002D000000}"/>
    <hyperlink ref="A30" r:id="rId47" display="http://finance.yahoo.com/q/op?s=AAPL&amp;strike=117.00" xr:uid="{00000000-0004-0000-0100-00002E000000}"/>
    <hyperlink ref="B30" r:id="rId48" xr:uid="{00000000-0004-0000-0100-00002F000000}"/>
    <hyperlink ref="A31" r:id="rId49" display="http://finance.yahoo.com/q/op?s=AAPL&amp;strike=118.00" xr:uid="{00000000-0004-0000-0100-000030000000}"/>
    <hyperlink ref="B31" r:id="rId50" xr:uid="{00000000-0004-0000-0100-000031000000}"/>
    <hyperlink ref="A32" r:id="rId51" display="http://finance.yahoo.com/q/op?s=AAPL&amp;strike=119.00" xr:uid="{00000000-0004-0000-0100-000032000000}"/>
    <hyperlink ref="B32" r:id="rId52" xr:uid="{00000000-0004-0000-0100-000033000000}"/>
    <hyperlink ref="A33" r:id="rId53" display="http://finance.yahoo.com/q/op?s=AAPL&amp;strike=120.00" xr:uid="{00000000-0004-0000-0100-000034000000}"/>
    <hyperlink ref="B33" r:id="rId54" xr:uid="{00000000-0004-0000-0100-000035000000}"/>
    <hyperlink ref="A34" r:id="rId55" display="http://finance.yahoo.com/q/op?s=AAPL&amp;strike=121.00" xr:uid="{00000000-0004-0000-0100-000036000000}"/>
    <hyperlink ref="B34" r:id="rId56" xr:uid="{00000000-0004-0000-0100-000037000000}"/>
    <hyperlink ref="A35" r:id="rId57" display="http://finance.yahoo.com/q/op?s=AAPL&amp;strike=122.00" xr:uid="{00000000-0004-0000-0100-000038000000}"/>
    <hyperlink ref="B35" r:id="rId58" xr:uid="{00000000-0004-0000-0100-000039000000}"/>
    <hyperlink ref="A36" r:id="rId59" display="http://finance.yahoo.com/q/op?s=AAPL&amp;strike=123.00" xr:uid="{00000000-0004-0000-0100-00003A000000}"/>
    <hyperlink ref="B36" r:id="rId60" xr:uid="{00000000-0004-0000-0100-00003B000000}"/>
    <hyperlink ref="A37" r:id="rId61" display="http://finance.yahoo.com/q/op?s=AAPL&amp;strike=124.00" xr:uid="{00000000-0004-0000-0100-00003C000000}"/>
    <hyperlink ref="B37" r:id="rId62" xr:uid="{00000000-0004-0000-0100-00003D000000}"/>
    <hyperlink ref="A38" r:id="rId63" display="http://finance.yahoo.com/q/op?s=AAPL&amp;strike=125.00" xr:uid="{00000000-0004-0000-0100-00003E000000}"/>
    <hyperlink ref="B38" r:id="rId64" xr:uid="{00000000-0004-0000-0100-00003F000000}"/>
    <hyperlink ref="A39" r:id="rId65" display="http://finance.yahoo.com/q/op?s=AAPL&amp;strike=130.00" xr:uid="{00000000-0004-0000-0100-000040000000}"/>
    <hyperlink ref="B39" r:id="rId66" xr:uid="{00000000-0004-0000-0100-000041000000}"/>
    <hyperlink ref="A40" r:id="rId67" display="http://finance.yahoo.com/q/op?s=AAPL&amp;strike=135.00" xr:uid="{00000000-0004-0000-0100-000042000000}"/>
    <hyperlink ref="B40" r:id="rId68" xr:uid="{00000000-0004-0000-0100-000043000000}"/>
    <hyperlink ref="A45" r:id="rId69" display="http://finance.yahoo.com/q/op?s=AAPL&amp;strike=70.00" xr:uid="{00000000-0004-0000-0100-000044000000}"/>
    <hyperlink ref="B45" r:id="rId70" xr:uid="{00000000-0004-0000-0100-000045000000}"/>
    <hyperlink ref="A46" r:id="rId71" display="http://finance.yahoo.com/q/op?s=AAPL&amp;strike=75.00" xr:uid="{00000000-0004-0000-0100-000046000000}"/>
    <hyperlink ref="B46" r:id="rId72" xr:uid="{00000000-0004-0000-0100-000047000000}"/>
    <hyperlink ref="A47" r:id="rId73" display="http://finance.yahoo.com/q/op?s=AAPL&amp;strike=80.00" xr:uid="{00000000-0004-0000-0100-000048000000}"/>
    <hyperlink ref="B47" r:id="rId74" xr:uid="{00000000-0004-0000-0100-000049000000}"/>
    <hyperlink ref="A48" r:id="rId75" display="http://finance.yahoo.com/q/op?s=AAPL&amp;strike=85.00" xr:uid="{00000000-0004-0000-0100-00004A000000}"/>
    <hyperlink ref="B48" r:id="rId76" xr:uid="{00000000-0004-0000-0100-00004B000000}"/>
    <hyperlink ref="A49" r:id="rId77" display="http://finance.yahoo.com/q/op?s=AAPL&amp;strike=90.00" xr:uid="{00000000-0004-0000-0100-00004C000000}"/>
    <hyperlink ref="B49" r:id="rId78" xr:uid="{00000000-0004-0000-0100-00004D000000}"/>
    <hyperlink ref="A50" r:id="rId79" display="http://finance.yahoo.com/q/op?s=AAPL&amp;strike=95.00" xr:uid="{00000000-0004-0000-0100-00004E000000}"/>
    <hyperlink ref="B50" r:id="rId80" xr:uid="{00000000-0004-0000-0100-00004F000000}"/>
    <hyperlink ref="A51" r:id="rId81" display="http://finance.yahoo.com/q/op?s=AAPL&amp;strike=96.00" xr:uid="{00000000-0004-0000-0100-000050000000}"/>
    <hyperlink ref="B51" r:id="rId82" xr:uid="{00000000-0004-0000-0100-000051000000}"/>
    <hyperlink ref="A52" r:id="rId83" display="http://finance.yahoo.com/q/op?s=AAPL&amp;strike=97.00" xr:uid="{00000000-0004-0000-0100-000052000000}"/>
    <hyperlink ref="B52" r:id="rId84" xr:uid="{00000000-0004-0000-0100-000053000000}"/>
    <hyperlink ref="A53" r:id="rId85" display="http://finance.yahoo.com/q/op?s=AAPL&amp;strike=98.00" xr:uid="{00000000-0004-0000-0100-000054000000}"/>
    <hyperlink ref="B53" r:id="rId86" xr:uid="{00000000-0004-0000-0100-000055000000}"/>
    <hyperlink ref="A54" r:id="rId87" display="http://finance.yahoo.com/q/op?s=AAPL&amp;strike=98.50" xr:uid="{00000000-0004-0000-0100-000056000000}"/>
    <hyperlink ref="B54" r:id="rId88" xr:uid="{00000000-0004-0000-0100-000057000000}"/>
    <hyperlink ref="A55" r:id="rId89" display="http://finance.yahoo.com/q/op?s=AAPL&amp;strike=99.00" xr:uid="{00000000-0004-0000-0100-000058000000}"/>
    <hyperlink ref="B55" r:id="rId90" xr:uid="{00000000-0004-0000-0100-000059000000}"/>
    <hyperlink ref="A56" r:id="rId91" display="http://finance.yahoo.com/q/op?s=AAPL&amp;strike=99.50" xr:uid="{00000000-0004-0000-0100-00005A000000}"/>
    <hyperlink ref="B56" r:id="rId92" xr:uid="{00000000-0004-0000-0100-00005B000000}"/>
    <hyperlink ref="A57" r:id="rId93" display="http://finance.yahoo.com/q/op?s=AAPL&amp;strike=100.00" xr:uid="{00000000-0004-0000-0100-00005C000000}"/>
    <hyperlink ref="B57" r:id="rId94" xr:uid="{00000000-0004-0000-0100-00005D000000}"/>
    <hyperlink ref="A58" r:id="rId95" display="http://finance.yahoo.com/q/op?s=AAPL&amp;strike=101.00" xr:uid="{00000000-0004-0000-0100-00005E000000}"/>
    <hyperlink ref="B58" r:id="rId96" xr:uid="{00000000-0004-0000-0100-00005F000000}"/>
    <hyperlink ref="A59" r:id="rId97" display="http://finance.yahoo.com/q/op?s=AAPL&amp;strike=102.00" xr:uid="{00000000-0004-0000-0100-000060000000}"/>
    <hyperlink ref="B59" r:id="rId98" xr:uid="{00000000-0004-0000-0100-000061000000}"/>
    <hyperlink ref="A60" r:id="rId99" display="http://finance.yahoo.com/q/op?s=AAPL&amp;strike=103.00" xr:uid="{00000000-0004-0000-0100-000062000000}"/>
    <hyperlink ref="B60" r:id="rId100" xr:uid="{00000000-0004-0000-0100-000063000000}"/>
    <hyperlink ref="A61" r:id="rId101" display="http://finance.yahoo.com/q/op?s=AAPL&amp;strike=104.00" xr:uid="{00000000-0004-0000-0100-000064000000}"/>
    <hyperlink ref="B61" r:id="rId102" xr:uid="{00000000-0004-0000-0100-000065000000}"/>
    <hyperlink ref="A62" r:id="rId103" display="http://finance.yahoo.com/q/op?s=AAPL&amp;strike=105.00" xr:uid="{00000000-0004-0000-0100-000066000000}"/>
    <hyperlink ref="B62" r:id="rId104" xr:uid="{00000000-0004-0000-0100-000067000000}"/>
    <hyperlink ref="A63" r:id="rId105" display="http://finance.yahoo.com/q/op?s=AAPL&amp;strike=106.00" xr:uid="{00000000-0004-0000-0100-000068000000}"/>
    <hyperlink ref="B63" r:id="rId106" xr:uid="{00000000-0004-0000-0100-000069000000}"/>
    <hyperlink ref="A64" r:id="rId107" display="http://finance.yahoo.com/q/op?s=AAPL&amp;strike=107.00" xr:uid="{00000000-0004-0000-0100-00006A000000}"/>
    <hyperlink ref="B64" r:id="rId108" xr:uid="{00000000-0004-0000-0100-00006B000000}"/>
    <hyperlink ref="A65" r:id="rId109" display="http://finance.yahoo.com/q/op?s=AAPL&amp;strike=108.00" xr:uid="{00000000-0004-0000-0100-00006C000000}"/>
    <hyperlink ref="B65" r:id="rId110" xr:uid="{00000000-0004-0000-0100-00006D000000}"/>
    <hyperlink ref="A66" r:id="rId111" display="http://finance.yahoo.com/q/op?s=AAPL&amp;strike=109.00" xr:uid="{00000000-0004-0000-0100-00006E000000}"/>
    <hyperlink ref="B66" r:id="rId112" xr:uid="{00000000-0004-0000-0100-00006F000000}"/>
    <hyperlink ref="A67" r:id="rId113" display="http://finance.yahoo.com/q/op?s=AAPL&amp;strike=110.00" xr:uid="{00000000-0004-0000-0100-000070000000}"/>
    <hyperlink ref="B67" r:id="rId114" xr:uid="{00000000-0004-0000-0100-000071000000}"/>
    <hyperlink ref="A68" r:id="rId115" display="http://finance.yahoo.com/q/op?s=AAPL&amp;strike=111.00" xr:uid="{00000000-0004-0000-0100-000072000000}"/>
    <hyperlink ref="B68" r:id="rId116" xr:uid="{00000000-0004-0000-0100-000073000000}"/>
    <hyperlink ref="A69" r:id="rId117" display="http://finance.yahoo.com/q/op?s=AAPL&amp;strike=112.00" xr:uid="{00000000-0004-0000-0100-000074000000}"/>
    <hyperlink ref="B69" r:id="rId118" xr:uid="{00000000-0004-0000-0100-000075000000}"/>
    <hyperlink ref="A70" r:id="rId119" display="http://finance.yahoo.com/q/op?s=AAPL&amp;strike=113.00" xr:uid="{00000000-0004-0000-0100-000076000000}"/>
    <hyperlink ref="B70" r:id="rId120" xr:uid="{00000000-0004-0000-0100-000077000000}"/>
    <hyperlink ref="A71" r:id="rId121" display="http://finance.yahoo.com/q/op?s=AAPL&amp;strike=114.00" xr:uid="{00000000-0004-0000-0100-000078000000}"/>
    <hyperlink ref="B71" r:id="rId122" xr:uid="{00000000-0004-0000-0100-000079000000}"/>
    <hyperlink ref="A72" r:id="rId123" display="http://finance.yahoo.com/q/op?s=AAPL&amp;strike=115.00" xr:uid="{00000000-0004-0000-0100-00007A000000}"/>
    <hyperlink ref="B72" r:id="rId124" xr:uid="{00000000-0004-0000-0100-00007B000000}"/>
    <hyperlink ref="A73" r:id="rId125" display="http://finance.yahoo.com/q/op?s=AAPL&amp;strike=116.00" xr:uid="{00000000-0004-0000-0100-00007C000000}"/>
    <hyperlink ref="B73" r:id="rId126" xr:uid="{00000000-0004-0000-0100-00007D000000}"/>
    <hyperlink ref="A74" r:id="rId127" display="http://finance.yahoo.com/q/op?s=AAPL&amp;strike=117.00" xr:uid="{00000000-0004-0000-0100-00007E000000}"/>
    <hyperlink ref="B74" r:id="rId128" xr:uid="{00000000-0004-0000-0100-00007F000000}"/>
    <hyperlink ref="A75" r:id="rId129" display="http://finance.yahoo.com/q/op?s=AAPL&amp;strike=118.00" xr:uid="{00000000-0004-0000-0100-000080000000}"/>
    <hyperlink ref="B75" r:id="rId130" xr:uid="{00000000-0004-0000-0100-000081000000}"/>
    <hyperlink ref="A76" r:id="rId131" display="http://finance.yahoo.com/q/op?s=AAPL&amp;strike=119.00" xr:uid="{00000000-0004-0000-0100-000082000000}"/>
    <hyperlink ref="B76" r:id="rId132" xr:uid="{00000000-0004-0000-0100-000083000000}"/>
    <hyperlink ref="A77" r:id="rId133" display="http://finance.yahoo.com/q/op?s=AAPL&amp;strike=120.00" xr:uid="{00000000-0004-0000-0100-000084000000}"/>
    <hyperlink ref="B77" r:id="rId134" xr:uid="{00000000-0004-0000-0100-000085000000}"/>
    <hyperlink ref="A78" r:id="rId135" display="http://finance.yahoo.com/q/op?s=AAPL&amp;strike=121.00" xr:uid="{00000000-0004-0000-0100-000086000000}"/>
    <hyperlink ref="B78" r:id="rId136" xr:uid="{00000000-0004-0000-0100-000087000000}"/>
    <hyperlink ref="A79" r:id="rId137" display="http://finance.yahoo.com/q/op?s=AAPL&amp;strike=122.00" xr:uid="{00000000-0004-0000-0100-000088000000}"/>
    <hyperlink ref="B79" r:id="rId138" xr:uid="{00000000-0004-0000-0100-000089000000}"/>
    <hyperlink ref="A80" r:id="rId139" display="http://finance.yahoo.com/q/op?s=AAPL&amp;strike=123.00" xr:uid="{00000000-0004-0000-0100-00008A000000}"/>
    <hyperlink ref="B80" r:id="rId140" xr:uid="{00000000-0004-0000-0100-00008B000000}"/>
    <hyperlink ref="A81" r:id="rId141" display="http://finance.yahoo.com/q/op?s=AAPL&amp;strike=124.00" xr:uid="{00000000-0004-0000-0100-00008C000000}"/>
    <hyperlink ref="B81" r:id="rId142" xr:uid="{00000000-0004-0000-0100-00008D000000}"/>
    <hyperlink ref="A82" r:id="rId143" display="http://finance.yahoo.com/q/op?s=AAPL&amp;strike=125.00" xr:uid="{00000000-0004-0000-0100-00008E000000}"/>
    <hyperlink ref="B82" r:id="rId144" xr:uid="{00000000-0004-0000-0100-00008F000000}"/>
    <hyperlink ref="A83" r:id="rId145" display="http://finance.yahoo.com/q/op?s=AAPL&amp;strike=130.00" xr:uid="{00000000-0004-0000-0100-000090000000}"/>
    <hyperlink ref="B83" r:id="rId146" xr:uid="{00000000-0004-0000-0100-000091000000}"/>
    <hyperlink ref="A84" r:id="rId147" display="http://finance.yahoo.com/q/op?s=AAPL&amp;strike=135.00" xr:uid="{00000000-0004-0000-0100-000092000000}"/>
    <hyperlink ref="B84" r:id="rId148" xr:uid="{00000000-0004-0000-0100-000093000000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64"/>
  <sheetViews>
    <sheetView workbookViewId="0">
      <selection activeCell="I1" sqref="I1"/>
    </sheetView>
  </sheetViews>
  <sheetFormatPr defaultColWidth="11" defaultRowHeight="15.6"/>
  <cols>
    <col min="2" max="2" width="22.8984375" customWidth="1"/>
    <col min="7" max="7" width="15.59765625" customWidth="1"/>
    <col min="10" max="10" width="14.8984375" customWidth="1"/>
  </cols>
  <sheetData>
    <row r="1" spans="1:10">
      <c r="C1" t="s">
        <v>149</v>
      </c>
      <c r="E1" s="10" t="s">
        <v>1</v>
      </c>
      <c r="F1" s="10">
        <v>119.08</v>
      </c>
    </row>
    <row r="2" spans="1:10">
      <c r="B2" s="9" t="s">
        <v>150</v>
      </c>
    </row>
    <row r="3" spans="1:10" ht="16.8">
      <c r="A3" s="15" t="s">
        <v>2</v>
      </c>
      <c r="B3" s="16"/>
      <c r="C3" s="16"/>
      <c r="D3" s="16"/>
      <c r="E3" s="16"/>
      <c r="F3" s="16"/>
      <c r="G3" s="16"/>
      <c r="H3" s="16"/>
      <c r="I3" s="16"/>
      <c r="J3" s="16"/>
    </row>
    <row r="4" spans="1:10" ht="19.2">
      <c r="A4" s="1" t="s">
        <v>4</v>
      </c>
      <c r="B4" s="17" t="s">
        <v>5</v>
      </c>
      <c r="C4" s="17" t="s">
        <v>6</v>
      </c>
      <c r="D4" s="17" t="s">
        <v>7</v>
      </c>
      <c r="E4" s="17" t="s">
        <v>8</v>
      </c>
      <c r="F4" s="17" t="s">
        <v>9</v>
      </c>
      <c r="G4" s="17" t="s">
        <v>10</v>
      </c>
      <c r="H4" s="17" t="s">
        <v>11</v>
      </c>
      <c r="I4" s="17" t="s">
        <v>12</v>
      </c>
      <c r="J4" s="17" t="s">
        <v>13</v>
      </c>
    </row>
    <row r="5" spans="1:10">
      <c r="A5" s="2" t="s">
        <v>14</v>
      </c>
      <c r="B5" s="17"/>
      <c r="C5" s="17"/>
      <c r="D5" s="17"/>
      <c r="E5" s="17"/>
      <c r="F5" s="17"/>
      <c r="G5" s="17"/>
      <c r="H5" s="17"/>
      <c r="I5" s="17"/>
      <c r="J5" s="17"/>
    </row>
    <row r="6" spans="1:10">
      <c r="A6" s="3" t="s">
        <v>15</v>
      </c>
      <c r="B6" s="17"/>
      <c r="C6" s="17"/>
      <c r="D6" s="17"/>
      <c r="E6" s="17"/>
      <c r="F6" s="17"/>
      <c r="G6" s="17"/>
      <c r="H6" s="17"/>
      <c r="I6" s="17"/>
      <c r="J6" s="17"/>
    </row>
    <row r="7" spans="1:10" ht="18.600000000000001">
      <c r="A7" s="4">
        <v>55</v>
      </c>
      <c r="B7" s="4" t="s">
        <v>151</v>
      </c>
      <c r="C7" s="5">
        <v>62.3</v>
      </c>
      <c r="D7" s="5">
        <v>63.85</v>
      </c>
      <c r="E7" s="5">
        <v>64.2</v>
      </c>
      <c r="F7" s="5">
        <v>6.82</v>
      </c>
      <c r="G7" s="7">
        <v>0.1229</v>
      </c>
      <c r="H7" s="5">
        <v>1</v>
      </c>
      <c r="I7" s="5">
        <v>7</v>
      </c>
      <c r="J7" s="6">
        <v>0.87109999999999999</v>
      </c>
    </row>
    <row r="8" spans="1:10" ht="18.600000000000001">
      <c r="A8" s="4">
        <v>70</v>
      </c>
      <c r="B8" s="4" t="s">
        <v>152</v>
      </c>
      <c r="C8" s="5">
        <v>41.8</v>
      </c>
      <c r="D8" s="5">
        <v>48.8</v>
      </c>
      <c r="E8" s="5">
        <v>49.2</v>
      </c>
      <c r="F8" s="5">
        <v>0</v>
      </c>
      <c r="G8" s="6">
        <v>0</v>
      </c>
      <c r="H8" s="5">
        <v>4</v>
      </c>
      <c r="I8" s="5">
        <v>724</v>
      </c>
      <c r="J8" s="6">
        <v>0.62009999999999998</v>
      </c>
    </row>
    <row r="9" spans="1:10" ht="18.600000000000001">
      <c r="A9" s="4">
        <v>75</v>
      </c>
      <c r="B9" s="4" t="s">
        <v>153</v>
      </c>
      <c r="C9" s="5">
        <v>36.57</v>
      </c>
      <c r="D9" s="5">
        <v>43.85</v>
      </c>
      <c r="E9" s="5">
        <v>44.2</v>
      </c>
      <c r="F9" s="5">
        <v>0</v>
      </c>
      <c r="G9" s="6">
        <v>0</v>
      </c>
      <c r="H9" s="5">
        <v>130</v>
      </c>
      <c r="I9" s="5">
        <v>450</v>
      </c>
      <c r="J9" s="6">
        <v>0.54690000000000005</v>
      </c>
    </row>
    <row r="10" spans="1:10" ht="18.600000000000001">
      <c r="A10" s="4">
        <v>80</v>
      </c>
      <c r="B10" s="4" t="s">
        <v>154</v>
      </c>
      <c r="C10" s="5">
        <v>39.159999999999997</v>
      </c>
      <c r="D10" s="5">
        <v>38.950000000000003</v>
      </c>
      <c r="E10" s="5">
        <v>39.200000000000003</v>
      </c>
      <c r="F10" s="5">
        <v>4.0599999999999996</v>
      </c>
      <c r="G10" s="7">
        <v>0.1157</v>
      </c>
      <c r="H10" s="5">
        <v>19</v>
      </c>
      <c r="I10" s="5">
        <v>426</v>
      </c>
      <c r="J10" s="6">
        <v>0.47849999999999998</v>
      </c>
    </row>
    <row r="11" spans="1:10" ht="18.600000000000001">
      <c r="A11" s="4">
        <v>85</v>
      </c>
      <c r="B11" s="4" t="s">
        <v>155</v>
      </c>
      <c r="C11" s="5">
        <v>30.4</v>
      </c>
      <c r="D11" s="5">
        <v>34</v>
      </c>
      <c r="E11" s="5">
        <v>34.200000000000003</v>
      </c>
      <c r="F11" s="5">
        <v>0</v>
      </c>
      <c r="G11" s="6">
        <v>0</v>
      </c>
      <c r="H11" s="5">
        <v>77</v>
      </c>
      <c r="I11" s="5">
        <v>750</v>
      </c>
      <c r="J11" s="6">
        <v>0.41410000000000002</v>
      </c>
    </row>
    <row r="12" spans="1:10" ht="18.600000000000001">
      <c r="A12" s="4">
        <v>90</v>
      </c>
      <c r="B12" s="4" t="s">
        <v>156</v>
      </c>
      <c r="C12" s="5">
        <v>29.1</v>
      </c>
      <c r="D12" s="5">
        <v>29</v>
      </c>
      <c r="E12" s="5">
        <v>29.15</v>
      </c>
      <c r="F12" s="5">
        <v>3.4</v>
      </c>
      <c r="G12" s="7">
        <v>0.1323</v>
      </c>
      <c r="H12" s="5">
        <v>325</v>
      </c>
      <c r="I12" s="5">
        <v>1635</v>
      </c>
      <c r="J12" s="6">
        <v>0.32519999999999999</v>
      </c>
    </row>
    <row r="13" spans="1:10" ht="18.600000000000001">
      <c r="A13" s="4">
        <v>95</v>
      </c>
      <c r="B13" s="4" t="s">
        <v>157</v>
      </c>
      <c r="C13" s="5">
        <v>24.15</v>
      </c>
      <c r="D13" s="5">
        <v>24.05</v>
      </c>
      <c r="E13" s="5">
        <v>24.3</v>
      </c>
      <c r="F13" s="5">
        <v>4.0999999999999996</v>
      </c>
      <c r="G13" s="7">
        <v>0.20449999999999999</v>
      </c>
      <c r="H13" s="5">
        <v>248</v>
      </c>
      <c r="I13" s="5">
        <v>1651</v>
      </c>
      <c r="J13" s="6">
        <v>0.32569999999999999</v>
      </c>
    </row>
    <row r="14" spans="1:10" ht="18.600000000000001">
      <c r="A14" s="4">
        <v>100</v>
      </c>
      <c r="B14" s="4" t="s">
        <v>158</v>
      </c>
      <c r="C14" s="5">
        <v>19.45</v>
      </c>
      <c r="D14" s="5">
        <v>19.3</v>
      </c>
      <c r="E14" s="5">
        <v>19.55</v>
      </c>
      <c r="F14" s="5">
        <v>3.38</v>
      </c>
      <c r="G14" s="7">
        <v>0.21029999999999999</v>
      </c>
      <c r="H14" s="5">
        <v>873</v>
      </c>
      <c r="I14" s="5">
        <v>3851</v>
      </c>
      <c r="J14" s="6">
        <v>0.311</v>
      </c>
    </row>
    <row r="15" spans="1:10" ht="18.600000000000001">
      <c r="A15" s="4">
        <v>105</v>
      </c>
      <c r="B15" s="4" t="s">
        <v>159</v>
      </c>
      <c r="C15" s="5">
        <v>14.9</v>
      </c>
      <c r="D15" s="5">
        <v>14.75</v>
      </c>
      <c r="E15" s="5">
        <v>14.9</v>
      </c>
      <c r="F15" s="5">
        <v>3.07</v>
      </c>
      <c r="G15" s="7">
        <v>0.25950000000000001</v>
      </c>
      <c r="H15" s="5">
        <v>682</v>
      </c>
      <c r="I15" s="5">
        <v>6888</v>
      </c>
      <c r="J15" s="6">
        <v>0.2833</v>
      </c>
    </row>
    <row r="16" spans="1:10" ht="18.600000000000001">
      <c r="A16" s="4">
        <v>110</v>
      </c>
      <c r="B16" s="4" t="s">
        <v>160</v>
      </c>
      <c r="C16" s="5">
        <v>10.7</v>
      </c>
      <c r="D16" s="5">
        <v>10.6</v>
      </c>
      <c r="E16" s="5">
        <v>10.7</v>
      </c>
      <c r="F16" s="5">
        <v>2.8</v>
      </c>
      <c r="G16" s="7">
        <v>0.35439999999999999</v>
      </c>
      <c r="H16" s="5">
        <v>6062</v>
      </c>
      <c r="I16" s="5">
        <v>13522</v>
      </c>
      <c r="J16" s="6">
        <v>0.27</v>
      </c>
    </row>
    <row r="17" spans="1:10" ht="18.600000000000001">
      <c r="A17" s="4">
        <v>115</v>
      </c>
      <c r="B17" s="4" t="s">
        <v>161</v>
      </c>
      <c r="C17" s="5">
        <v>7.05</v>
      </c>
      <c r="D17" s="5">
        <v>7</v>
      </c>
      <c r="E17" s="5">
        <v>7.1</v>
      </c>
      <c r="F17" s="5">
        <v>2.35</v>
      </c>
      <c r="G17" s="7">
        <v>0.5</v>
      </c>
      <c r="H17" s="5">
        <v>4294</v>
      </c>
      <c r="I17" s="5">
        <v>43774</v>
      </c>
      <c r="J17" s="6">
        <v>0.25940000000000002</v>
      </c>
    </row>
    <row r="18" spans="1:10" ht="18.600000000000001">
      <c r="A18" s="4">
        <v>120</v>
      </c>
      <c r="B18" s="4" t="s">
        <v>162</v>
      </c>
      <c r="C18" s="5">
        <v>4.2</v>
      </c>
      <c r="D18" s="5">
        <v>4.1500000000000004</v>
      </c>
      <c r="E18" s="5">
        <v>4.2</v>
      </c>
      <c r="F18" s="5">
        <v>1.76</v>
      </c>
      <c r="G18" s="7">
        <v>0.72130000000000005</v>
      </c>
      <c r="H18" s="5">
        <v>10879</v>
      </c>
      <c r="I18" s="5">
        <v>32834</v>
      </c>
      <c r="J18" s="6">
        <v>0.24660000000000001</v>
      </c>
    </row>
    <row r="19" spans="1:10" ht="18.600000000000001">
      <c r="A19" s="4">
        <v>125</v>
      </c>
      <c r="B19" s="4" t="s">
        <v>163</v>
      </c>
      <c r="C19" s="5">
        <v>2.2000000000000002</v>
      </c>
      <c r="D19" s="5">
        <v>2.19</v>
      </c>
      <c r="E19" s="5">
        <v>2.2000000000000002</v>
      </c>
      <c r="F19" s="5">
        <v>1.1299999999999999</v>
      </c>
      <c r="G19" s="7">
        <v>1.0561</v>
      </c>
      <c r="H19" s="5">
        <v>10835</v>
      </c>
      <c r="I19" s="5">
        <v>28820</v>
      </c>
      <c r="J19" s="6">
        <v>0.23719999999999999</v>
      </c>
    </row>
    <row r="20" spans="1:10" ht="18.600000000000001">
      <c r="A20" s="4">
        <v>130</v>
      </c>
      <c r="B20" s="4" t="s">
        <v>164</v>
      </c>
      <c r="C20" s="5">
        <v>1.06</v>
      </c>
      <c r="D20" s="5">
        <v>1.06</v>
      </c>
      <c r="E20" s="5">
        <v>1.08</v>
      </c>
      <c r="F20" s="5">
        <v>0.64</v>
      </c>
      <c r="G20" s="7">
        <v>1.5238</v>
      </c>
      <c r="H20" s="5">
        <v>13173</v>
      </c>
      <c r="I20" s="5">
        <v>33641</v>
      </c>
      <c r="J20" s="6">
        <v>0.23599999999999999</v>
      </c>
    </row>
    <row r="21" spans="1:10" ht="18.600000000000001">
      <c r="A21" s="4">
        <v>135</v>
      </c>
      <c r="B21" s="4" t="s">
        <v>165</v>
      </c>
      <c r="C21" s="5">
        <v>0.49</v>
      </c>
      <c r="D21" s="5">
        <v>0.48</v>
      </c>
      <c r="E21" s="5">
        <v>0.5</v>
      </c>
      <c r="F21" s="5">
        <v>0.28999999999999998</v>
      </c>
      <c r="G21" s="7">
        <v>1.45</v>
      </c>
      <c r="H21" s="5">
        <v>4356</v>
      </c>
      <c r="I21" s="5">
        <v>18430</v>
      </c>
      <c r="J21" s="6">
        <v>0.23760000000000001</v>
      </c>
    </row>
    <row r="22" spans="1:10" ht="18.600000000000001">
      <c r="A22" s="4">
        <v>140</v>
      </c>
      <c r="B22" s="4" t="s">
        <v>166</v>
      </c>
      <c r="C22" s="5">
        <v>0.25</v>
      </c>
      <c r="D22" s="5">
        <v>0.22</v>
      </c>
      <c r="E22" s="5">
        <v>0.25</v>
      </c>
      <c r="F22" s="5">
        <v>0.14000000000000001</v>
      </c>
      <c r="G22" s="7">
        <v>1.2726999999999999</v>
      </c>
      <c r="H22" s="5">
        <v>386</v>
      </c>
      <c r="I22" s="5">
        <v>32253</v>
      </c>
      <c r="J22" s="6">
        <v>0.24610000000000001</v>
      </c>
    </row>
    <row r="23" spans="1:10" ht="18.600000000000001">
      <c r="A23" s="4">
        <v>145</v>
      </c>
      <c r="B23" s="4" t="s">
        <v>167</v>
      </c>
      <c r="C23" s="5">
        <v>0.12</v>
      </c>
      <c r="D23" s="5">
        <v>0.11</v>
      </c>
      <c r="E23" s="5">
        <v>0.14000000000000001</v>
      </c>
      <c r="F23" s="5">
        <v>0.05</v>
      </c>
      <c r="G23" s="7">
        <v>0.71430000000000005</v>
      </c>
      <c r="H23" s="5">
        <v>664</v>
      </c>
      <c r="I23" s="5">
        <v>5644</v>
      </c>
      <c r="J23" s="6">
        <v>0.25929999999999997</v>
      </c>
    </row>
    <row r="24" spans="1:10" ht="18.600000000000001">
      <c r="A24" s="4">
        <v>150</v>
      </c>
      <c r="B24" s="4" t="s">
        <v>168</v>
      </c>
      <c r="C24" s="5">
        <v>7.0000000000000007E-2</v>
      </c>
      <c r="D24" s="5">
        <v>7.0000000000000007E-2</v>
      </c>
      <c r="E24" s="5">
        <v>0.09</v>
      </c>
      <c r="F24" s="5">
        <v>0.01</v>
      </c>
      <c r="G24" s="7">
        <v>0.16669999999999999</v>
      </c>
      <c r="H24" s="5">
        <v>26</v>
      </c>
      <c r="I24" s="5">
        <v>4385</v>
      </c>
      <c r="J24" s="6">
        <v>0.27639999999999998</v>
      </c>
    </row>
    <row r="25" spans="1:10" ht="18.600000000000001">
      <c r="A25" s="4">
        <v>155</v>
      </c>
      <c r="B25" s="4" t="s">
        <v>169</v>
      </c>
      <c r="C25" s="5">
        <v>0.06</v>
      </c>
      <c r="D25" s="5">
        <v>0.05</v>
      </c>
      <c r="E25" s="5">
        <v>0.06</v>
      </c>
      <c r="F25" s="5">
        <v>0.03</v>
      </c>
      <c r="G25" s="7">
        <v>1</v>
      </c>
      <c r="H25" s="5">
        <v>11</v>
      </c>
      <c r="I25" s="5">
        <v>3456</v>
      </c>
      <c r="J25" s="6">
        <v>0.29199999999999998</v>
      </c>
    </row>
    <row r="26" spans="1:10" ht="18.600000000000001">
      <c r="A26" s="4">
        <v>160</v>
      </c>
      <c r="B26" s="4" t="s">
        <v>170</v>
      </c>
      <c r="C26" s="5">
        <v>0.03</v>
      </c>
      <c r="D26" s="5">
        <v>0.03</v>
      </c>
      <c r="E26" s="5">
        <v>0.05</v>
      </c>
      <c r="F26" s="5">
        <v>0</v>
      </c>
      <c r="G26" s="6">
        <v>0</v>
      </c>
      <c r="H26" s="5">
        <v>153</v>
      </c>
      <c r="I26" s="5">
        <v>7041</v>
      </c>
      <c r="J26" s="6">
        <v>0.3145</v>
      </c>
    </row>
    <row r="27" spans="1:10" ht="18.600000000000001">
      <c r="A27" s="4">
        <v>165</v>
      </c>
      <c r="B27" s="4" t="s">
        <v>171</v>
      </c>
      <c r="C27" s="5">
        <v>0.02</v>
      </c>
      <c r="D27" s="5">
        <v>0.02</v>
      </c>
      <c r="E27" s="5">
        <v>0.04</v>
      </c>
      <c r="F27" s="5">
        <v>0</v>
      </c>
      <c r="G27" s="6">
        <v>0</v>
      </c>
      <c r="H27" s="5">
        <v>5</v>
      </c>
      <c r="I27" s="5">
        <v>2105</v>
      </c>
      <c r="J27" s="6">
        <v>0.33400000000000002</v>
      </c>
    </row>
    <row r="28" spans="1:10" ht="18.600000000000001">
      <c r="A28" s="4">
        <v>170</v>
      </c>
      <c r="B28" s="4" t="s">
        <v>172</v>
      </c>
      <c r="C28" s="5">
        <v>0.02</v>
      </c>
      <c r="D28" s="5">
        <v>0.02</v>
      </c>
      <c r="E28" s="5">
        <v>0.03</v>
      </c>
      <c r="F28" s="5">
        <v>0</v>
      </c>
      <c r="G28" s="6">
        <v>0</v>
      </c>
      <c r="H28" s="5">
        <v>48</v>
      </c>
      <c r="I28" s="5">
        <v>1252</v>
      </c>
      <c r="J28" s="6">
        <v>0.34770000000000001</v>
      </c>
    </row>
    <row r="29" spans="1:10" ht="18.600000000000001">
      <c r="A29" s="4">
        <v>175</v>
      </c>
      <c r="B29" s="4" t="s">
        <v>173</v>
      </c>
      <c r="C29" s="5">
        <v>0.05</v>
      </c>
      <c r="D29" s="5">
        <v>0</v>
      </c>
      <c r="E29" s="5">
        <v>0.04</v>
      </c>
      <c r="F29" s="5">
        <v>0</v>
      </c>
      <c r="G29" s="6">
        <v>0</v>
      </c>
      <c r="H29" s="5">
        <v>50</v>
      </c>
      <c r="I29" s="5">
        <v>259</v>
      </c>
      <c r="J29" s="6">
        <v>0.38479999999999998</v>
      </c>
    </row>
    <row r="30" spans="1:10" ht="18.600000000000001">
      <c r="A30" s="4">
        <v>180</v>
      </c>
      <c r="B30" s="4" t="s">
        <v>174</v>
      </c>
      <c r="C30" s="5">
        <v>0.06</v>
      </c>
      <c r="D30" s="5">
        <v>0.01</v>
      </c>
      <c r="E30" s="5">
        <v>0.03</v>
      </c>
      <c r="F30" s="5">
        <v>0</v>
      </c>
      <c r="G30" s="6">
        <v>0</v>
      </c>
      <c r="H30" s="5">
        <v>0</v>
      </c>
      <c r="I30" s="5">
        <v>928</v>
      </c>
      <c r="J30" s="6">
        <v>0.39650000000000002</v>
      </c>
    </row>
    <row r="31" spans="1:10" ht="18.600000000000001">
      <c r="A31" s="4">
        <v>185</v>
      </c>
      <c r="B31" s="4" t="s">
        <v>175</v>
      </c>
      <c r="C31" s="5">
        <v>0.02</v>
      </c>
      <c r="D31" s="5">
        <v>0.01</v>
      </c>
      <c r="E31" s="5">
        <v>0.03</v>
      </c>
      <c r="F31" s="5">
        <v>0</v>
      </c>
      <c r="G31" s="6">
        <v>0</v>
      </c>
      <c r="H31" s="5">
        <v>200</v>
      </c>
      <c r="I31" s="5">
        <v>338</v>
      </c>
      <c r="J31" s="6">
        <v>0.4199</v>
      </c>
    </row>
    <row r="32" spans="1:10" ht="18.600000000000001">
      <c r="A32" s="4">
        <v>190</v>
      </c>
      <c r="B32" s="4" t="s">
        <v>176</v>
      </c>
      <c r="C32" s="5">
        <v>0.02</v>
      </c>
      <c r="D32" s="5">
        <v>0.01</v>
      </c>
      <c r="E32" s="5">
        <v>0.02</v>
      </c>
      <c r="F32" s="5">
        <v>0</v>
      </c>
      <c r="G32" s="6">
        <v>0</v>
      </c>
      <c r="H32" s="5">
        <v>1</v>
      </c>
      <c r="I32" s="5">
        <v>360</v>
      </c>
      <c r="J32" s="6">
        <v>0.42580000000000001</v>
      </c>
    </row>
    <row r="33" spans="1:10" ht="16.8">
      <c r="A33" s="15" t="s">
        <v>45</v>
      </c>
      <c r="B33" s="16"/>
      <c r="C33" s="16"/>
      <c r="D33" s="16"/>
      <c r="E33" s="16"/>
      <c r="F33" s="16"/>
      <c r="G33" s="16"/>
      <c r="H33" s="16"/>
      <c r="I33" s="16"/>
      <c r="J33" s="16"/>
    </row>
    <row r="34" spans="1:10" ht="19.2">
      <c r="A34" s="1" t="s">
        <v>4</v>
      </c>
      <c r="B34" s="17" t="s">
        <v>5</v>
      </c>
      <c r="C34" s="17" t="s">
        <v>6</v>
      </c>
      <c r="D34" s="17" t="s">
        <v>7</v>
      </c>
      <c r="E34" s="17" t="s">
        <v>8</v>
      </c>
      <c r="F34" s="17" t="s">
        <v>9</v>
      </c>
      <c r="G34" s="17" t="s">
        <v>10</v>
      </c>
      <c r="H34" s="17" t="s">
        <v>11</v>
      </c>
      <c r="I34" s="17" t="s">
        <v>12</v>
      </c>
      <c r="J34" s="17" t="s">
        <v>13</v>
      </c>
    </row>
    <row r="35" spans="1:10">
      <c r="A35" s="2" t="s">
        <v>14</v>
      </c>
      <c r="B35" s="17"/>
      <c r="C35" s="17"/>
      <c r="D35" s="17"/>
      <c r="E35" s="17"/>
      <c r="F35" s="17"/>
      <c r="G35" s="17"/>
      <c r="H35" s="17"/>
      <c r="I35" s="17"/>
      <c r="J35" s="17"/>
    </row>
    <row r="36" spans="1:10">
      <c r="A36" s="3" t="s">
        <v>15</v>
      </c>
      <c r="B36" s="17"/>
      <c r="C36" s="17"/>
      <c r="D36" s="17"/>
      <c r="E36" s="17"/>
      <c r="F36" s="17"/>
      <c r="G36" s="17"/>
      <c r="H36" s="17"/>
      <c r="I36" s="17"/>
      <c r="J36" s="17"/>
    </row>
    <row r="37" spans="1:10" ht="18.600000000000001">
      <c r="A37" s="4">
        <v>55</v>
      </c>
      <c r="B37" s="4" t="s">
        <v>177</v>
      </c>
      <c r="C37" s="5">
        <v>0.01</v>
      </c>
      <c r="D37" s="5">
        <v>0</v>
      </c>
      <c r="E37" s="5">
        <v>0.01</v>
      </c>
      <c r="F37" s="5">
        <v>-0.02</v>
      </c>
      <c r="G37" s="8">
        <v>-0.66669999999999996</v>
      </c>
      <c r="H37" s="5">
        <v>336</v>
      </c>
      <c r="I37" s="5">
        <v>2392</v>
      </c>
      <c r="J37" s="6">
        <v>0.625</v>
      </c>
    </row>
    <row r="38" spans="1:10" ht="18.600000000000001">
      <c r="A38" s="4">
        <v>60</v>
      </c>
      <c r="B38" s="4" t="s">
        <v>178</v>
      </c>
      <c r="C38" s="5">
        <v>0.02</v>
      </c>
      <c r="D38" s="5">
        <v>0.01</v>
      </c>
      <c r="E38" s="5">
        <v>0.02</v>
      </c>
      <c r="F38" s="5">
        <v>-0.01</v>
      </c>
      <c r="G38" s="8">
        <v>-0.33329999999999999</v>
      </c>
      <c r="H38" s="5">
        <v>184</v>
      </c>
      <c r="I38" s="5">
        <v>24014</v>
      </c>
      <c r="J38" s="6">
        <v>0.61719999999999997</v>
      </c>
    </row>
    <row r="39" spans="1:10" ht="18.600000000000001">
      <c r="A39" s="4">
        <v>65</v>
      </c>
      <c r="B39" s="4" t="s">
        <v>179</v>
      </c>
      <c r="C39" s="5">
        <v>0.03</v>
      </c>
      <c r="D39" s="5">
        <v>0.02</v>
      </c>
      <c r="E39" s="5">
        <v>0.03</v>
      </c>
      <c r="F39" s="5">
        <v>-0.02</v>
      </c>
      <c r="G39" s="8">
        <v>-0.4</v>
      </c>
      <c r="H39" s="5">
        <v>30</v>
      </c>
      <c r="I39" s="5">
        <v>3431</v>
      </c>
      <c r="J39" s="6">
        <v>0.57809999999999995</v>
      </c>
    </row>
    <row r="40" spans="1:10" ht="18.600000000000001">
      <c r="A40" s="4">
        <v>70</v>
      </c>
      <c r="B40" s="4" t="s">
        <v>180</v>
      </c>
      <c r="C40" s="5">
        <v>0.06</v>
      </c>
      <c r="D40" s="5">
        <v>0.04</v>
      </c>
      <c r="E40" s="5">
        <v>0.05</v>
      </c>
      <c r="F40" s="5">
        <v>-0.03</v>
      </c>
      <c r="G40" s="8">
        <v>-0.33329999999999999</v>
      </c>
      <c r="H40" s="5">
        <v>87</v>
      </c>
      <c r="I40" s="5">
        <v>6417</v>
      </c>
      <c r="J40" s="6">
        <v>0.54690000000000005</v>
      </c>
    </row>
    <row r="41" spans="1:10" ht="18.600000000000001">
      <c r="A41" s="4">
        <v>75</v>
      </c>
      <c r="B41" s="4" t="s">
        <v>181</v>
      </c>
      <c r="C41" s="5">
        <v>0.09</v>
      </c>
      <c r="D41" s="5">
        <v>0.08</v>
      </c>
      <c r="E41" s="5">
        <v>0.09</v>
      </c>
      <c r="F41" s="5">
        <v>-0.05</v>
      </c>
      <c r="G41" s="8">
        <v>-0.35709999999999997</v>
      </c>
      <c r="H41" s="5">
        <v>297</v>
      </c>
      <c r="I41" s="5">
        <v>10337</v>
      </c>
      <c r="J41" s="6">
        <v>0.52249999999999996</v>
      </c>
    </row>
    <row r="42" spans="1:10" ht="18.600000000000001">
      <c r="A42" s="4">
        <v>80</v>
      </c>
      <c r="B42" s="4" t="s">
        <v>182</v>
      </c>
      <c r="C42" s="5">
        <v>0.12</v>
      </c>
      <c r="D42" s="5">
        <v>0.11</v>
      </c>
      <c r="E42" s="5">
        <v>0.13</v>
      </c>
      <c r="F42" s="5">
        <v>-0.09</v>
      </c>
      <c r="G42" s="8">
        <v>-0.42859999999999998</v>
      </c>
      <c r="H42" s="5">
        <v>49</v>
      </c>
      <c r="I42" s="5">
        <v>5879</v>
      </c>
      <c r="J42" s="6">
        <v>0.4854</v>
      </c>
    </row>
    <row r="43" spans="1:10" ht="18.600000000000001">
      <c r="A43" s="4">
        <v>85</v>
      </c>
      <c r="B43" s="4" t="s">
        <v>183</v>
      </c>
      <c r="C43" s="5">
        <v>0.2</v>
      </c>
      <c r="D43" s="5">
        <v>0.18</v>
      </c>
      <c r="E43" s="5">
        <v>0.2</v>
      </c>
      <c r="F43" s="5">
        <v>-0.09</v>
      </c>
      <c r="G43" s="8">
        <v>-0.31030000000000002</v>
      </c>
      <c r="H43" s="5">
        <v>120</v>
      </c>
      <c r="I43" s="5">
        <v>4181</v>
      </c>
      <c r="J43" s="6">
        <v>0.45019999999999999</v>
      </c>
    </row>
    <row r="44" spans="1:10" ht="18.600000000000001">
      <c r="A44" s="4">
        <v>90</v>
      </c>
      <c r="B44" s="4" t="s">
        <v>184</v>
      </c>
      <c r="C44" s="5">
        <v>0.3</v>
      </c>
      <c r="D44" s="5">
        <v>0.28999999999999998</v>
      </c>
      <c r="E44" s="5">
        <v>0.3</v>
      </c>
      <c r="F44" s="5">
        <v>-0.11</v>
      </c>
      <c r="G44" s="8">
        <v>-0.26829999999999998</v>
      </c>
      <c r="H44" s="5">
        <v>537</v>
      </c>
      <c r="I44" s="5">
        <v>7638</v>
      </c>
      <c r="J44" s="6">
        <v>0.41410000000000002</v>
      </c>
    </row>
    <row r="45" spans="1:10" ht="18.600000000000001">
      <c r="A45" s="4">
        <v>95</v>
      </c>
      <c r="B45" s="4" t="s">
        <v>185</v>
      </c>
      <c r="C45" s="5">
        <v>0.45</v>
      </c>
      <c r="D45" s="5">
        <v>0.44</v>
      </c>
      <c r="E45" s="5">
        <v>0.46</v>
      </c>
      <c r="F45" s="5">
        <v>-0.2</v>
      </c>
      <c r="G45" s="8">
        <v>-0.30769999999999997</v>
      </c>
      <c r="H45" s="5">
        <v>997</v>
      </c>
      <c r="I45" s="5">
        <v>8723</v>
      </c>
      <c r="J45" s="6">
        <v>0.37940000000000002</v>
      </c>
    </row>
    <row r="46" spans="1:10" ht="18.600000000000001">
      <c r="A46" s="4">
        <v>100</v>
      </c>
      <c r="B46" s="4" t="s">
        <v>186</v>
      </c>
      <c r="C46" s="5">
        <v>0.72</v>
      </c>
      <c r="D46" s="5">
        <v>0.71</v>
      </c>
      <c r="E46" s="5">
        <v>0.73</v>
      </c>
      <c r="F46" s="5">
        <v>-0.28999999999999998</v>
      </c>
      <c r="G46" s="8">
        <v>-0.28710000000000002</v>
      </c>
      <c r="H46" s="5">
        <v>870</v>
      </c>
      <c r="I46" s="5">
        <v>19761</v>
      </c>
      <c r="J46" s="6">
        <v>0.34839999999999999</v>
      </c>
    </row>
    <row r="47" spans="1:10" ht="18.600000000000001">
      <c r="A47" s="4">
        <v>105</v>
      </c>
      <c r="B47" s="4" t="s">
        <v>187</v>
      </c>
      <c r="C47" s="5">
        <v>1.2</v>
      </c>
      <c r="D47" s="5">
        <v>1.2</v>
      </c>
      <c r="E47" s="5">
        <v>1.21</v>
      </c>
      <c r="F47" s="5">
        <v>-0.48</v>
      </c>
      <c r="G47" s="8">
        <v>-0.28570000000000001</v>
      </c>
      <c r="H47" s="5">
        <v>2149</v>
      </c>
      <c r="I47" s="5">
        <v>17750</v>
      </c>
      <c r="J47" s="6">
        <v>0.32200000000000001</v>
      </c>
    </row>
    <row r="48" spans="1:10" ht="18.600000000000001">
      <c r="A48" s="4">
        <v>110</v>
      </c>
      <c r="B48" s="4" t="s">
        <v>188</v>
      </c>
      <c r="C48" s="5">
        <v>2.06</v>
      </c>
      <c r="D48" s="5">
        <v>2.06</v>
      </c>
      <c r="E48" s="5">
        <v>2.08</v>
      </c>
      <c r="F48" s="5">
        <v>-0.75</v>
      </c>
      <c r="G48" s="8">
        <v>-0.26690000000000003</v>
      </c>
      <c r="H48" s="5">
        <v>3486</v>
      </c>
      <c r="I48" s="5">
        <v>29062</v>
      </c>
      <c r="J48" s="6">
        <v>0.30270000000000002</v>
      </c>
    </row>
    <row r="49" spans="1:10" ht="18.600000000000001">
      <c r="A49" s="4">
        <v>115</v>
      </c>
      <c r="B49" s="4" t="s">
        <v>189</v>
      </c>
      <c r="C49" s="5">
        <v>3.51</v>
      </c>
      <c r="D49" s="5">
        <v>3.45</v>
      </c>
      <c r="E49" s="5">
        <v>3.55</v>
      </c>
      <c r="F49" s="5">
        <v>-1.19</v>
      </c>
      <c r="G49" s="8">
        <v>-0.25319999999999998</v>
      </c>
      <c r="H49" s="5">
        <v>4100</v>
      </c>
      <c r="I49" s="5">
        <v>42221</v>
      </c>
      <c r="J49" s="6">
        <v>0.2898</v>
      </c>
    </row>
    <row r="50" spans="1:10" ht="18.600000000000001">
      <c r="A50" s="4">
        <v>120</v>
      </c>
      <c r="B50" s="4" t="s">
        <v>190</v>
      </c>
      <c r="C50" s="5">
        <v>5.55</v>
      </c>
      <c r="D50" s="5">
        <v>5.55</v>
      </c>
      <c r="E50" s="5">
        <v>5.65</v>
      </c>
      <c r="F50" s="5">
        <v>-1.85</v>
      </c>
      <c r="G50" s="8">
        <v>-0.25</v>
      </c>
      <c r="H50" s="5">
        <v>2529</v>
      </c>
      <c r="I50" s="5">
        <v>15510</v>
      </c>
      <c r="J50" s="6">
        <v>0.27489999999999998</v>
      </c>
    </row>
    <row r="51" spans="1:10" ht="18.600000000000001">
      <c r="A51" s="4">
        <v>125</v>
      </c>
      <c r="B51" s="4" t="s">
        <v>191</v>
      </c>
      <c r="C51" s="5">
        <v>8.65</v>
      </c>
      <c r="D51" s="5">
        <v>8.6</v>
      </c>
      <c r="E51" s="5">
        <v>8.6999999999999993</v>
      </c>
      <c r="F51" s="5">
        <v>-2.41</v>
      </c>
      <c r="G51" s="8">
        <v>-0.21790000000000001</v>
      </c>
      <c r="H51" s="5">
        <v>553</v>
      </c>
      <c r="I51" s="5">
        <v>15603</v>
      </c>
      <c r="J51" s="6">
        <v>0.2712</v>
      </c>
    </row>
    <row r="52" spans="1:10" ht="18.600000000000001">
      <c r="A52" s="4">
        <v>130</v>
      </c>
      <c r="B52" s="4" t="s">
        <v>192</v>
      </c>
      <c r="C52" s="5">
        <v>12.45</v>
      </c>
      <c r="D52" s="5">
        <v>12.4</v>
      </c>
      <c r="E52" s="5">
        <v>12.6</v>
      </c>
      <c r="F52" s="5">
        <v>-2.95</v>
      </c>
      <c r="G52" s="8">
        <v>-0.19159999999999999</v>
      </c>
      <c r="H52" s="5">
        <v>318</v>
      </c>
      <c r="I52" s="5">
        <v>6086</v>
      </c>
      <c r="J52" s="6">
        <v>0.28050000000000003</v>
      </c>
    </row>
    <row r="53" spans="1:10" ht="18.600000000000001">
      <c r="A53" s="4">
        <v>135</v>
      </c>
      <c r="B53" s="4" t="s">
        <v>193</v>
      </c>
      <c r="C53" s="5">
        <v>17</v>
      </c>
      <c r="D53" s="5">
        <v>16.8</v>
      </c>
      <c r="E53" s="5">
        <v>17</v>
      </c>
      <c r="F53" s="5">
        <v>-3.5</v>
      </c>
      <c r="G53" s="8">
        <v>-0.17069999999999999</v>
      </c>
      <c r="H53" s="5">
        <v>92</v>
      </c>
      <c r="I53" s="5">
        <v>6106</v>
      </c>
      <c r="J53" s="6">
        <v>0.2969</v>
      </c>
    </row>
    <row r="54" spans="1:10" ht="18.600000000000001">
      <c r="A54" s="4">
        <v>140</v>
      </c>
      <c r="B54" s="4" t="s">
        <v>194</v>
      </c>
      <c r="C54" s="5">
        <v>21.95</v>
      </c>
      <c r="D54" s="5">
        <v>21.55</v>
      </c>
      <c r="E54" s="5">
        <v>21.8</v>
      </c>
      <c r="F54" s="5">
        <v>-4.05</v>
      </c>
      <c r="G54" s="8">
        <v>-0.15579999999999999</v>
      </c>
      <c r="H54" s="5">
        <v>20</v>
      </c>
      <c r="I54" s="5">
        <v>22998</v>
      </c>
      <c r="J54" s="6">
        <v>0.33150000000000002</v>
      </c>
    </row>
    <row r="55" spans="1:10" ht="18.600000000000001">
      <c r="A55" s="4">
        <v>145</v>
      </c>
      <c r="B55" s="4" t="s">
        <v>195</v>
      </c>
      <c r="C55" s="5">
        <v>26.55</v>
      </c>
      <c r="D55" s="5">
        <v>26.45</v>
      </c>
      <c r="E55" s="5">
        <v>26.6</v>
      </c>
      <c r="F55" s="5">
        <v>-4.1500000000000004</v>
      </c>
      <c r="G55" s="8">
        <v>-0.13519999999999999</v>
      </c>
      <c r="H55" s="5">
        <v>80</v>
      </c>
      <c r="I55" s="5">
        <v>874</v>
      </c>
      <c r="J55" s="6">
        <v>0.35670000000000002</v>
      </c>
    </row>
    <row r="56" spans="1:10" ht="18.600000000000001">
      <c r="A56" s="4">
        <v>150</v>
      </c>
      <c r="B56" s="4" t="s">
        <v>196</v>
      </c>
      <c r="C56" s="5">
        <v>38.5</v>
      </c>
      <c r="D56" s="5">
        <v>31.4</v>
      </c>
      <c r="E56" s="5">
        <v>31.65</v>
      </c>
      <c r="F56" s="5">
        <v>0</v>
      </c>
      <c r="G56" s="6">
        <v>0</v>
      </c>
      <c r="H56" s="5">
        <v>1</v>
      </c>
      <c r="I56" s="5">
        <v>676</v>
      </c>
      <c r="J56" s="6">
        <v>0.40770000000000001</v>
      </c>
    </row>
    <row r="57" spans="1:10" ht="18.600000000000001">
      <c r="A57" s="4">
        <v>155</v>
      </c>
      <c r="B57" s="4" t="s">
        <v>197</v>
      </c>
      <c r="C57" s="5">
        <v>41.5</v>
      </c>
      <c r="D57" s="5">
        <v>36.35</v>
      </c>
      <c r="E57" s="5">
        <v>36.700000000000003</v>
      </c>
      <c r="F57" s="5">
        <v>0</v>
      </c>
      <c r="G57" s="6">
        <v>0</v>
      </c>
      <c r="H57" s="5">
        <v>2</v>
      </c>
      <c r="I57" s="5">
        <v>155</v>
      </c>
      <c r="J57" s="6">
        <v>0.45650000000000002</v>
      </c>
    </row>
    <row r="58" spans="1:10" ht="18.600000000000001">
      <c r="A58" s="4">
        <v>160</v>
      </c>
      <c r="B58" s="4" t="s">
        <v>198</v>
      </c>
      <c r="C58" s="5">
        <v>46.35</v>
      </c>
      <c r="D58" s="5">
        <v>41.3</v>
      </c>
      <c r="E58" s="5">
        <v>41.7</v>
      </c>
      <c r="F58" s="5">
        <v>0</v>
      </c>
      <c r="G58" s="6">
        <v>0</v>
      </c>
      <c r="H58" s="5">
        <v>1</v>
      </c>
      <c r="I58" s="5">
        <v>4363</v>
      </c>
      <c r="J58" s="6">
        <v>0.49659999999999999</v>
      </c>
    </row>
    <row r="59" spans="1:10" ht="18.600000000000001">
      <c r="A59" s="4">
        <v>165</v>
      </c>
      <c r="B59" s="4" t="s">
        <v>199</v>
      </c>
      <c r="C59" s="5">
        <v>57.32</v>
      </c>
      <c r="D59" s="5">
        <v>46.35</v>
      </c>
      <c r="E59" s="5">
        <v>46.7</v>
      </c>
      <c r="F59" s="5">
        <v>0</v>
      </c>
      <c r="G59" s="6">
        <v>0</v>
      </c>
      <c r="H59" s="5">
        <v>0</v>
      </c>
      <c r="I59" s="5">
        <v>5</v>
      </c>
      <c r="J59" s="6">
        <v>0.50680000000000003</v>
      </c>
    </row>
    <row r="60" spans="1:10" ht="18.600000000000001">
      <c r="A60" s="4">
        <v>170</v>
      </c>
      <c r="B60" s="4" t="s">
        <v>200</v>
      </c>
      <c r="C60" s="5">
        <v>56.85</v>
      </c>
      <c r="D60" s="5">
        <v>51.3</v>
      </c>
      <c r="E60" s="5">
        <v>51.65</v>
      </c>
      <c r="F60" s="5">
        <v>0</v>
      </c>
      <c r="G60" s="6">
        <v>0</v>
      </c>
      <c r="H60" s="5">
        <v>14</v>
      </c>
      <c r="I60" s="5">
        <v>31</v>
      </c>
      <c r="J60" s="6">
        <v>0.53269999999999995</v>
      </c>
    </row>
    <row r="61" spans="1:10" ht="18.600000000000001">
      <c r="A61" s="4">
        <v>175</v>
      </c>
      <c r="B61" s="4" t="s">
        <v>201</v>
      </c>
      <c r="C61" s="5">
        <v>60.65</v>
      </c>
      <c r="D61" s="5">
        <v>56.3</v>
      </c>
      <c r="E61" s="5">
        <v>56.65</v>
      </c>
      <c r="F61" s="5">
        <v>0</v>
      </c>
      <c r="G61" s="6">
        <v>0</v>
      </c>
      <c r="H61" s="5">
        <v>0</v>
      </c>
      <c r="I61" s="5">
        <v>1</v>
      </c>
      <c r="J61" s="6">
        <v>0.56589999999999996</v>
      </c>
    </row>
    <row r="62" spans="1:10" ht="18.600000000000001">
      <c r="A62" s="4">
        <v>180</v>
      </c>
      <c r="B62" s="4" t="s">
        <v>202</v>
      </c>
      <c r="C62" s="5">
        <v>65.510000000000005</v>
      </c>
      <c r="D62" s="5">
        <v>61.3</v>
      </c>
      <c r="E62" s="5">
        <v>61.65</v>
      </c>
      <c r="F62" s="5">
        <v>0</v>
      </c>
      <c r="G62" s="6">
        <v>0</v>
      </c>
      <c r="H62" s="5">
        <v>3</v>
      </c>
      <c r="I62" s="5">
        <v>505</v>
      </c>
      <c r="J62" s="6">
        <v>0.59770000000000001</v>
      </c>
    </row>
    <row r="63" spans="1:10" ht="18.600000000000001">
      <c r="A63" s="4">
        <v>185</v>
      </c>
      <c r="B63" s="4" t="s">
        <v>203</v>
      </c>
      <c r="C63" s="5">
        <v>71.849999999999994</v>
      </c>
      <c r="D63" s="5">
        <v>66.3</v>
      </c>
      <c r="E63" s="5">
        <v>66.650000000000006</v>
      </c>
      <c r="F63" s="5">
        <v>0</v>
      </c>
      <c r="G63" s="6">
        <v>0</v>
      </c>
      <c r="H63" s="5">
        <v>11</v>
      </c>
      <c r="I63" s="5">
        <v>211</v>
      </c>
      <c r="J63" s="6">
        <v>0.62839999999999996</v>
      </c>
    </row>
    <row r="64" spans="1:10" ht="18.600000000000001">
      <c r="A64" s="4">
        <v>190</v>
      </c>
      <c r="B64" s="4" t="s">
        <v>204</v>
      </c>
      <c r="C64" s="5">
        <v>78.8</v>
      </c>
      <c r="D64" s="5">
        <v>71.3</v>
      </c>
      <c r="E64" s="5">
        <v>71.7</v>
      </c>
      <c r="F64" s="5">
        <v>0</v>
      </c>
      <c r="G64" s="6">
        <v>0</v>
      </c>
      <c r="H64" s="5">
        <v>1</v>
      </c>
      <c r="I64" s="5">
        <v>4</v>
      </c>
      <c r="J64" s="6">
        <v>0.66310000000000002</v>
      </c>
    </row>
  </sheetData>
  <mergeCells count="20">
    <mergeCell ref="A3:J3"/>
    <mergeCell ref="B4:B6"/>
    <mergeCell ref="C4:C6"/>
    <mergeCell ref="D4:D6"/>
    <mergeCell ref="E4:E6"/>
    <mergeCell ref="F4:F6"/>
    <mergeCell ref="G4:G6"/>
    <mergeCell ref="H4:H6"/>
    <mergeCell ref="I4:I6"/>
    <mergeCell ref="J4:J6"/>
    <mergeCell ref="A33:J33"/>
    <mergeCell ref="B34:B36"/>
    <mergeCell ref="C34:C36"/>
    <mergeCell ref="D34:D36"/>
    <mergeCell ref="E34:E36"/>
    <mergeCell ref="F34:F36"/>
    <mergeCell ref="G34:G36"/>
    <mergeCell ref="H34:H36"/>
    <mergeCell ref="I34:I36"/>
    <mergeCell ref="J34:J36"/>
  </mergeCells>
  <hyperlinks>
    <hyperlink ref="A7" r:id="rId1" display="http://finance.yahoo.com/q/op?s=AAPL&amp;strike=55.00" xr:uid="{00000000-0004-0000-0200-000000000000}"/>
    <hyperlink ref="B7" r:id="rId2" xr:uid="{00000000-0004-0000-0200-000001000000}"/>
    <hyperlink ref="A8" r:id="rId3" display="http://finance.yahoo.com/q/op?s=AAPL&amp;strike=70.00" xr:uid="{00000000-0004-0000-0200-000002000000}"/>
    <hyperlink ref="B8" r:id="rId4" xr:uid="{00000000-0004-0000-0200-000003000000}"/>
    <hyperlink ref="A9" r:id="rId5" display="http://finance.yahoo.com/q/op?s=AAPL&amp;strike=75.00" xr:uid="{00000000-0004-0000-0200-000004000000}"/>
    <hyperlink ref="B9" r:id="rId6" xr:uid="{00000000-0004-0000-0200-000005000000}"/>
    <hyperlink ref="A10" r:id="rId7" display="http://finance.yahoo.com/q/op?s=AAPL&amp;strike=80.00" xr:uid="{00000000-0004-0000-0200-000006000000}"/>
    <hyperlink ref="B10" r:id="rId8" xr:uid="{00000000-0004-0000-0200-000007000000}"/>
    <hyperlink ref="A11" r:id="rId9" display="http://finance.yahoo.com/q/op?s=AAPL&amp;strike=85.00" xr:uid="{00000000-0004-0000-0200-000008000000}"/>
    <hyperlink ref="B11" r:id="rId10" xr:uid="{00000000-0004-0000-0200-000009000000}"/>
    <hyperlink ref="A12" r:id="rId11" display="http://finance.yahoo.com/q/op?s=AAPL&amp;strike=90.00" xr:uid="{00000000-0004-0000-0200-00000A000000}"/>
    <hyperlink ref="B12" r:id="rId12" xr:uid="{00000000-0004-0000-0200-00000B000000}"/>
    <hyperlink ref="A13" r:id="rId13" display="http://finance.yahoo.com/q/op?s=AAPL&amp;strike=95.00" xr:uid="{00000000-0004-0000-0200-00000C000000}"/>
    <hyperlink ref="B13" r:id="rId14" xr:uid="{00000000-0004-0000-0200-00000D000000}"/>
    <hyperlink ref="A14" r:id="rId15" display="http://finance.yahoo.com/q/op?s=AAPL&amp;strike=100.00" xr:uid="{00000000-0004-0000-0200-00000E000000}"/>
    <hyperlink ref="B14" r:id="rId16" xr:uid="{00000000-0004-0000-0200-00000F000000}"/>
    <hyperlink ref="A15" r:id="rId17" display="http://finance.yahoo.com/q/op?s=AAPL&amp;strike=105.00" xr:uid="{00000000-0004-0000-0200-000010000000}"/>
    <hyperlink ref="B15" r:id="rId18" xr:uid="{00000000-0004-0000-0200-000011000000}"/>
    <hyperlink ref="A16" r:id="rId19" display="http://finance.yahoo.com/q/op?s=AAPL&amp;strike=110.00" xr:uid="{00000000-0004-0000-0200-000012000000}"/>
    <hyperlink ref="B16" r:id="rId20" xr:uid="{00000000-0004-0000-0200-000013000000}"/>
    <hyperlink ref="A17" r:id="rId21" display="http://finance.yahoo.com/q/op?s=AAPL&amp;strike=115.00" xr:uid="{00000000-0004-0000-0200-000014000000}"/>
    <hyperlink ref="B17" r:id="rId22" xr:uid="{00000000-0004-0000-0200-000015000000}"/>
    <hyperlink ref="A18" r:id="rId23" display="http://finance.yahoo.com/q/op?s=AAPL&amp;strike=120.00" xr:uid="{00000000-0004-0000-0200-000016000000}"/>
    <hyperlink ref="B18" r:id="rId24" xr:uid="{00000000-0004-0000-0200-000017000000}"/>
    <hyperlink ref="A19" r:id="rId25" display="http://finance.yahoo.com/q/op?s=AAPL&amp;strike=125.00" xr:uid="{00000000-0004-0000-0200-000018000000}"/>
    <hyperlink ref="B19" r:id="rId26" xr:uid="{00000000-0004-0000-0200-000019000000}"/>
    <hyperlink ref="A20" r:id="rId27" display="http://finance.yahoo.com/q/op?s=AAPL&amp;strike=130.00" xr:uid="{00000000-0004-0000-0200-00001A000000}"/>
    <hyperlink ref="B20" r:id="rId28" xr:uid="{00000000-0004-0000-0200-00001B000000}"/>
    <hyperlink ref="A21" r:id="rId29" display="http://finance.yahoo.com/q/op?s=AAPL&amp;strike=135.00" xr:uid="{00000000-0004-0000-0200-00001C000000}"/>
    <hyperlink ref="B21" r:id="rId30" xr:uid="{00000000-0004-0000-0200-00001D000000}"/>
    <hyperlink ref="A22" r:id="rId31" display="http://finance.yahoo.com/q/op?s=AAPL&amp;strike=140.00" xr:uid="{00000000-0004-0000-0200-00001E000000}"/>
    <hyperlink ref="B22" r:id="rId32" xr:uid="{00000000-0004-0000-0200-00001F000000}"/>
    <hyperlink ref="A23" r:id="rId33" display="http://finance.yahoo.com/q/op?s=AAPL&amp;strike=145.00" xr:uid="{00000000-0004-0000-0200-000020000000}"/>
    <hyperlink ref="B23" r:id="rId34" xr:uid="{00000000-0004-0000-0200-000021000000}"/>
    <hyperlink ref="A24" r:id="rId35" display="http://finance.yahoo.com/q/op?s=AAPL&amp;strike=150.00" xr:uid="{00000000-0004-0000-0200-000022000000}"/>
    <hyperlink ref="B24" r:id="rId36" xr:uid="{00000000-0004-0000-0200-000023000000}"/>
    <hyperlink ref="A25" r:id="rId37" display="http://finance.yahoo.com/q/op?s=AAPL&amp;strike=155.00" xr:uid="{00000000-0004-0000-0200-000024000000}"/>
    <hyperlink ref="B25" r:id="rId38" xr:uid="{00000000-0004-0000-0200-000025000000}"/>
    <hyperlink ref="A26" r:id="rId39" display="http://finance.yahoo.com/q/op?s=AAPL&amp;strike=160.00" xr:uid="{00000000-0004-0000-0200-000026000000}"/>
    <hyperlink ref="B26" r:id="rId40" xr:uid="{00000000-0004-0000-0200-000027000000}"/>
    <hyperlink ref="A27" r:id="rId41" display="http://finance.yahoo.com/q/op?s=AAPL&amp;strike=165.00" xr:uid="{00000000-0004-0000-0200-000028000000}"/>
    <hyperlink ref="B27" r:id="rId42" xr:uid="{00000000-0004-0000-0200-000029000000}"/>
    <hyperlink ref="A28" r:id="rId43" display="http://finance.yahoo.com/q/op?s=AAPL&amp;strike=170.00" xr:uid="{00000000-0004-0000-0200-00002A000000}"/>
    <hyperlink ref="B28" r:id="rId44" xr:uid="{00000000-0004-0000-0200-00002B000000}"/>
    <hyperlink ref="A29" r:id="rId45" display="http://finance.yahoo.com/q/op?s=AAPL&amp;strike=175.00" xr:uid="{00000000-0004-0000-0200-00002C000000}"/>
    <hyperlink ref="B29" r:id="rId46" xr:uid="{00000000-0004-0000-0200-00002D000000}"/>
    <hyperlink ref="A30" r:id="rId47" display="http://finance.yahoo.com/q/op?s=AAPL&amp;strike=180.00" xr:uid="{00000000-0004-0000-0200-00002E000000}"/>
    <hyperlink ref="B30" r:id="rId48" xr:uid="{00000000-0004-0000-0200-00002F000000}"/>
    <hyperlink ref="A31" r:id="rId49" display="http://finance.yahoo.com/q/op?s=AAPL&amp;strike=185.00" xr:uid="{00000000-0004-0000-0200-000030000000}"/>
    <hyperlink ref="B31" r:id="rId50" xr:uid="{00000000-0004-0000-0200-000031000000}"/>
    <hyperlink ref="A32" r:id="rId51" display="http://finance.yahoo.com/q/op?s=AAPL&amp;strike=190.00" xr:uid="{00000000-0004-0000-0200-000032000000}"/>
    <hyperlink ref="B32" r:id="rId52" xr:uid="{00000000-0004-0000-0200-000033000000}"/>
    <hyperlink ref="A37" r:id="rId53" display="http://finance.yahoo.com/q/op?s=AAPL&amp;strike=55.00" xr:uid="{00000000-0004-0000-0200-000034000000}"/>
    <hyperlink ref="B37" r:id="rId54" xr:uid="{00000000-0004-0000-0200-000035000000}"/>
    <hyperlink ref="A38" r:id="rId55" display="http://finance.yahoo.com/q/op?s=AAPL&amp;strike=60.00" xr:uid="{00000000-0004-0000-0200-000036000000}"/>
    <hyperlink ref="B38" r:id="rId56" xr:uid="{00000000-0004-0000-0200-000037000000}"/>
    <hyperlink ref="A39" r:id="rId57" display="http://finance.yahoo.com/q/op?s=AAPL&amp;strike=65.00" xr:uid="{00000000-0004-0000-0200-000038000000}"/>
    <hyperlink ref="B39" r:id="rId58" xr:uid="{00000000-0004-0000-0200-000039000000}"/>
    <hyperlink ref="A40" r:id="rId59" display="http://finance.yahoo.com/q/op?s=AAPL&amp;strike=70.00" xr:uid="{00000000-0004-0000-0200-00003A000000}"/>
    <hyperlink ref="B40" r:id="rId60" xr:uid="{00000000-0004-0000-0200-00003B000000}"/>
    <hyperlink ref="A41" r:id="rId61" display="http://finance.yahoo.com/q/op?s=AAPL&amp;strike=75.00" xr:uid="{00000000-0004-0000-0200-00003C000000}"/>
    <hyperlink ref="B41" r:id="rId62" xr:uid="{00000000-0004-0000-0200-00003D000000}"/>
    <hyperlink ref="A42" r:id="rId63" display="http://finance.yahoo.com/q/op?s=AAPL&amp;strike=80.00" xr:uid="{00000000-0004-0000-0200-00003E000000}"/>
    <hyperlink ref="B42" r:id="rId64" xr:uid="{00000000-0004-0000-0200-00003F000000}"/>
    <hyperlink ref="A43" r:id="rId65" display="http://finance.yahoo.com/q/op?s=AAPL&amp;strike=85.00" xr:uid="{00000000-0004-0000-0200-000040000000}"/>
    <hyperlink ref="B43" r:id="rId66" xr:uid="{00000000-0004-0000-0200-000041000000}"/>
    <hyperlink ref="A44" r:id="rId67" display="http://finance.yahoo.com/q/op?s=AAPL&amp;strike=90.00" xr:uid="{00000000-0004-0000-0200-000042000000}"/>
    <hyperlink ref="B44" r:id="rId68" xr:uid="{00000000-0004-0000-0200-000043000000}"/>
    <hyperlink ref="A45" r:id="rId69" display="http://finance.yahoo.com/q/op?s=AAPL&amp;strike=95.00" xr:uid="{00000000-0004-0000-0200-000044000000}"/>
    <hyperlink ref="B45" r:id="rId70" xr:uid="{00000000-0004-0000-0200-000045000000}"/>
    <hyperlink ref="A46" r:id="rId71" display="http://finance.yahoo.com/q/op?s=AAPL&amp;strike=100.00" xr:uid="{00000000-0004-0000-0200-000046000000}"/>
    <hyperlink ref="B46" r:id="rId72" xr:uid="{00000000-0004-0000-0200-000047000000}"/>
    <hyperlink ref="A47" r:id="rId73" display="http://finance.yahoo.com/q/op?s=AAPL&amp;strike=105.00" xr:uid="{00000000-0004-0000-0200-000048000000}"/>
    <hyperlink ref="B47" r:id="rId74" xr:uid="{00000000-0004-0000-0200-000049000000}"/>
    <hyperlink ref="A48" r:id="rId75" display="http://finance.yahoo.com/q/op?s=AAPL&amp;strike=110.00" xr:uid="{00000000-0004-0000-0200-00004A000000}"/>
    <hyperlink ref="B48" r:id="rId76" xr:uid="{00000000-0004-0000-0200-00004B000000}"/>
    <hyperlink ref="A49" r:id="rId77" display="http://finance.yahoo.com/q/op?s=AAPL&amp;strike=115.00" xr:uid="{00000000-0004-0000-0200-00004C000000}"/>
    <hyperlink ref="B49" r:id="rId78" xr:uid="{00000000-0004-0000-0200-00004D000000}"/>
    <hyperlink ref="A50" r:id="rId79" display="http://finance.yahoo.com/q/op?s=AAPL&amp;strike=120.00" xr:uid="{00000000-0004-0000-0200-00004E000000}"/>
    <hyperlink ref="B50" r:id="rId80" xr:uid="{00000000-0004-0000-0200-00004F000000}"/>
    <hyperlink ref="A51" r:id="rId81" display="http://finance.yahoo.com/q/op?s=AAPL&amp;strike=125.00" xr:uid="{00000000-0004-0000-0200-000050000000}"/>
    <hyperlink ref="B51" r:id="rId82" xr:uid="{00000000-0004-0000-0200-000051000000}"/>
    <hyperlink ref="A52" r:id="rId83" display="http://finance.yahoo.com/q/op?s=AAPL&amp;strike=130.00" xr:uid="{00000000-0004-0000-0200-000052000000}"/>
    <hyperlink ref="B52" r:id="rId84" xr:uid="{00000000-0004-0000-0200-000053000000}"/>
    <hyperlink ref="A53" r:id="rId85" display="http://finance.yahoo.com/q/op?s=AAPL&amp;strike=135.00" xr:uid="{00000000-0004-0000-0200-000054000000}"/>
    <hyperlink ref="B53" r:id="rId86" xr:uid="{00000000-0004-0000-0200-000055000000}"/>
    <hyperlink ref="A54" r:id="rId87" display="http://finance.yahoo.com/q/op?s=AAPL&amp;strike=140.00" xr:uid="{00000000-0004-0000-0200-000056000000}"/>
    <hyperlink ref="B54" r:id="rId88" xr:uid="{00000000-0004-0000-0200-000057000000}"/>
    <hyperlink ref="A55" r:id="rId89" display="http://finance.yahoo.com/q/op?s=AAPL&amp;strike=145.00" xr:uid="{00000000-0004-0000-0200-000058000000}"/>
    <hyperlink ref="B55" r:id="rId90" xr:uid="{00000000-0004-0000-0200-000059000000}"/>
    <hyperlink ref="A56" r:id="rId91" display="http://finance.yahoo.com/q/op?s=AAPL&amp;strike=150.00" xr:uid="{00000000-0004-0000-0200-00005A000000}"/>
    <hyperlink ref="B56" r:id="rId92" xr:uid="{00000000-0004-0000-0200-00005B000000}"/>
    <hyperlink ref="A57" r:id="rId93" display="http://finance.yahoo.com/q/op?s=AAPL&amp;strike=155.00" xr:uid="{00000000-0004-0000-0200-00005C000000}"/>
    <hyperlink ref="B57" r:id="rId94" xr:uid="{00000000-0004-0000-0200-00005D000000}"/>
    <hyperlink ref="A58" r:id="rId95" display="http://finance.yahoo.com/q/op?s=AAPL&amp;strike=160.00" xr:uid="{00000000-0004-0000-0200-00005E000000}"/>
    <hyperlink ref="B58" r:id="rId96" xr:uid="{00000000-0004-0000-0200-00005F000000}"/>
    <hyperlink ref="A59" r:id="rId97" display="http://finance.yahoo.com/q/op?s=AAPL&amp;strike=165.00" xr:uid="{00000000-0004-0000-0200-000060000000}"/>
    <hyperlink ref="B59" r:id="rId98" xr:uid="{00000000-0004-0000-0200-000061000000}"/>
    <hyperlink ref="A60" r:id="rId99" display="http://finance.yahoo.com/q/op?s=AAPL&amp;strike=170.00" xr:uid="{00000000-0004-0000-0200-000062000000}"/>
    <hyperlink ref="B60" r:id="rId100" xr:uid="{00000000-0004-0000-0200-000063000000}"/>
    <hyperlink ref="A61" r:id="rId101" display="http://finance.yahoo.com/q/op?s=AAPL&amp;strike=175.00" xr:uid="{00000000-0004-0000-0200-000064000000}"/>
    <hyperlink ref="B61" r:id="rId102" xr:uid="{00000000-0004-0000-0200-000065000000}"/>
    <hyperlink ref="A62" r:id="rId103" display="http://finance.yahoo.com/q/op?s=AAPL&amp;strike=180.00" xr:uid="{00000000-0004-0000-0200-000066000000}"/>
    <hyperlink ref="B62" r:id="rId104" xr:uid="{00000000-0004-0000-0200-000067000000}"/>
    <hyperlink ref="A63" r:id="rId105" display="http://finance.yahoo.com/q/op?s=AAPL&amp;strike=185.00" xr:uid="{00000000-0004-0000-0200-000068000000}"/>
    <hyperlink ref="B63" r:id="rId106" xr:uid="{00000000-0004-0000-0200-000069000000}"/>
    <hyperlink ref="A64" r:id="rId107" display="http://finance.yahoo.com/q/op?s=AAPL&amp;strike=190.00" xr:uid="{00000000-0004-0000-0200-00006A000000}"/>
    <hyperlink ref="B64" r:id="rId108" xr:uid="{00000000-0004-0000-0200-00006B000000}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44"/>
  <sheetViews>
    <sheetView workbookViewId="0">
      <selection activeCell="J10" sqref="A10:J22"/>
    </sheetView>
  </sheetViews>
  <sheetFormatPr defaultColWidth="11" defaultRowHeight="15.6"/>
  <cols>
    <col min="2" max="2" width="25.09765625" customWidth="1"/>
    <col min="7" max="7" width="14.3984375" customWidth="1"/>
  </cols>
  <sheetData>
    <row r="2" spans="1:10">
      <c r="A2" t="s">
        <v>205</v>
      </c>
    </row>
    <row r="3" spans="1:10" ht="16.8">
      <c r="A3" s="15" t="s">
        <v>2</v>
      </c>
      <c r="B3" s="16"/>
      <c r="C3" s="16"/>
      <c r="D3" s="16"/>
      <c r="E3" s="16"/>
      <c r="F3" s="16"/>
      <c r="G3" s="16"/>
      <c r="H3" s="16"/>
      <c r="I3" s="16"/>
      <c r="J3" s="16"/>
    </row>
    <row r="4" spans="1:10" ht="19.2">
      <c r="A4" s="1" t="s">
        <v>4</v>
      </c>
      <c r="B4" s="17" t="s">
        <v>5</v>
      </c>
      <c r="C4" s="17" t="s">
        <v>6</v>
      </c>
      <c r="D4" s="17" t="s">
        <v>7</v>
      </c>
      <c r="E4" s="17" t="s">
        <v>8</v>
      </c>
      <c r="F4" s="17" t="s">
        <v>9</v>
      </c>
      <c r="G4" s="17" t="s">
        <v>10</v>
      </c>
      <c r="H4" s="17" t="s">
        <v>11</v>
      </c>
      <c r="I4" s="17" t="s">
        <v>12</v>
      </c>
      <c r="J4" s="17" t="s">
        <v>13</v>
      </c>
    </row>
    <row r="5" spans="1:10">
      <c r="A5" s="2" t="s">
        <v>14</v>
      </c>
      <c r="B5" s="17"/>
      <c r="C5" s="17"/>
      <c r="D5" s="17"/>
      <c r="E5" s="17"/>
      <c r="F5" s="17"/>
      <c r="G5" s="17"/>
      <c r="H5" s="17"/>
      <c r="I5" s="17"/>
      <c r="J5" s="17"/>
    </row>
    <row r="6" spans="1:10">
      <c r="A6" s="3" t="s">
        <v>15</v>
      </c>
      <c r="B6" s="17"/>
      <c r="C6" s="17"/>
      <c r="D6" s="17"/>
      <c r="E6" s="17"/>
      <c r="F6" s="17"/>
      <c r="G6" s="17"/>
      <c r="H6" s="17"/>
      <c r="I6" s="17"/>
      <c r="J6" s="17"/>
    </row>
    <row r="7" spans="1:10" ht="18.600000000000001">
      <c r="A7" s="4">
        <v>70</v>
      </c>
      <c r="B7" s="4" t="s">
        <v>206</v>
      </c>
      <c r="C7" s="5">
        <v>41.65</v>
      </c>
      <c r="D7" s="5">
        <v>48.85</v>
      </c>
      <c r="E7" s="5">
        <v>49.25</v>
      </c>
      <c r="F7" s="5">
        <v>0</v>
      </c>
      <c r="G7" s="6">
        <v>0</v>
      </c>
      <c r="H7" s="5">
        <v>2</v>
      </c>
      <c r="I7" s="5">
        <v>2</v>
      </c>
      <c r="J7" s="6">
        <v>0.44919999999999999</v>
      </c>
    </row>
    <row r="8" spans="1:10" ht="18.600000000000001">
      <c r="A8" s="4">
        <v>75</v>
      </c>
      <c r="B8" s="4" t="s">
        <v>207</v>
      </c>
      <c r="C8" s="5">
        <v>36.549999999999997</v>
      </c>
      <c r="D8" s="5">
        <v>43.9</v>
      </c>
      <c r="E8" s="5">
        <v>44.25</v>
      </c>
      <c r="F8" s="5">
        <v>0</v>
      </c>
      <c r="G8" s="6">
        <v>0</v>
      </c>
      <c r="H8" s="5">
        <v>4</v>
      </c>
      <c r="I8" s="5">
        <v>4</v>
      </c>
      <c r="J8" s="6">
        <v>0.39750000000000002</v>
      </c>
    </row>
    <row r="9" spans="1:10" ht="18.600000000000001">
      <c r="A9" s="4">
        <v>80</v>
      </c>
      <c r="B9" s="4" t="s">
        <v>208</v>
      </c>
      <c r="C9" s="5">
        <v>37.61</v>
      </c>
      <c r="D9" s="5">
        <v>39.049999999999997</v>
      </c>
      <c r="E9" s="5">
        <v>39.299999999999997</v>
      </c>
      <c r="F9" s="5">
        <v>5.91</v>
      </c>
      <c r="G9" s="7">
        <v>0.18640000000000001</v>
      </c>
      <c r="H9" s="5">
        <v>3</v>
      </c>
      <c r="I9" s="5">
        <v>18</v>
      </c>
      <c r="J9" s="6">
        <v>0.36330000000000001</v>
      </c>
    </row>
    <row r="10" spans="1:10" ht="18.600000000000001">
      <c r="A10" s="4">
        <v>90</v>
      </c>
      <c r="B10" s="4" t="s">
        <v>209</v>
      </c>
      <c r="C10" s="5">
        <v>29.05</v>
      </c>
      <c r="D10" s="5">
        <v>29.35</v>
      </c>
      <c r="E10" s="5">
        <v>29.7</v>
      </c>
      <c r="F10" s="5">
        <v>3.18</v>
      </c>
      <c r="G10" s="7">
        <v>0.1229</v>
      </c>
      <c r="H10" s="5">
        <v>4</v>
      </c>
      <c r="I10" s="5">
        <v>4</v>
      </c>
      <c r="J10" s="6">
        <v>0.33229999999999998</v>
      </c>
    </row>
    <row r="11" spans="1:10" ht="18.600000000000001">
      <c r="A11" s="4">
        <v>95</v>
      </c>
      <c r="B11" s="4" t="s">
        <v>210</v>
      </c>
      <c r="C11" s="5">
        <v>24.88</v>
      </c>
      <c r="D11" s="5">
        <v>24.75</v>
      </c>
      <c r="E11" s="5">
        <v>25.05</v>
      </c>
      <c r="F11" s="5">
        <v>3.33</v>
      </c>
      <c r="G11" s="7">
        <v>0.1545</v>
      </c>
      <c r="H11" s="5">
        <v>13</v>
      </c>
      <c r="I11" s="5">
        <v>6</v>
      </c>
      <c r="J11" s="6">
        <v>0.31490000000000001</v>
      </c>
    </row>
    <row r="12" spans="1:10" ht="18.600000000000001">
      <c r="A12" s="4">
        <v>100</v>
      </c>
      <c r="B12" s="4" t="s">
        <v>211</v>
      </c>
      <c r="C12" s="5">
        <v>20.440000000000001</v>
      </c>
      <c r="D12" s="5">
        <v>20.350000000000001</v>
      </c>
      <c r="E12" s="5">
        <v>20.6</v>
      </c>
      <c r="F12" s="5">
        <v>4.1399999999999997</v>
      </c>
      <c r="G12" s="7">
        <v>0.254</v>
      </c>
      <c r="H12" s="5">
        <v>44</v>
      </c>
      <c r="I12" s="5">
        <v>101</v>
      </c>
      <c r="J12" s="6">
        <v>0.30009999999999998</v>
      </c>
    </row>
    <row r="13" spans="1:10" ht="18.600000000000001">
      <c r="A13" s="4">
        <v>105</v>
      </c>
      <c r="B13" s="4" t="s">
        <v>212</v>
      </c>
      <c r="C13" s="5">
        <v>16.100000000000001</v>
      </c>
      <c r="D13" s="5">
        <v>16.2</v>
      </c>
      <c r="E13" s="5">
        <v>16.5</v>
      </c>
      <c r="F13" s="5">
        <v>2.5499999999999998</v>
      </c>
      <c r="G13" s="7">
        <v>0.18820000000000001</v>
      </c>
      <c r="H13" s="5">
        <v>64</v>
      </c>
      <c r="I13" s="5">
        <v>166</v>
      </c>
      <c r="J13" s="6">
        <v>0.29070000000000001</v>
      </c>
    </row>
    <row r="14" spans="1:10" ht="18.600000000000001">
      <c r="A14" s="4">
        <v>110</v>
      </c>
      <c r="B14" s="4" t="s">
        <v>213</v>
      </c>
      <c r="C14" s="5">
        <v>12.4</v>
      </c>
      <c r="D14" s="5">
        <v>12.5</v>
      </c>
      <c r="E14" s="5">
        <v>12.7</v>
      </c>
      <c r="F14" s="5">
        <v>2.5099999999999998</v>
      </c>
      <c r="G14" s="7">
        <v>0.25380000000000003</v>
      </c>
      <c r="H14" s="5">
        <v>161</v>
      </c>
      <c r="I14" s="5">
        <v>240</v>
      </c>
      <c r="J14" s="6">
        <v>0.27810000000000001</v>
      </c>
    </row>
    <row r="15" spans="1:10" ht="18.600000000000001">
      <c r="A15" s="4">
        <v>115</v>
      </c>
      <c r="B15" s="4" t="s">
        <v>214</v>
      </c>
      <c r="C15" s="5">
        <v>9.2899999999999991</v>
      </c>
      <c r="D15" s="5">
        <v>9.1999999999999993</v>
      </c>
      <c r="E15" s="5">
        <v>9.35</v>
      </c>
      <c r="F15" s="5">
        <v>2.25</v>
      </c>
      <c r="G15" s="7">
        <v>0.3196</v>
      </c>
      <c r="H15" s="5">
        <v>192</v>
      </c>
      <c r="I15" s="5">
        <v>477</v>
      </c>
      <c r="J15" s="6">
        <v>0.26640000000000003</v>
      </c>
    </row>
    <row r="16" spans="1:10" ht="18.600000000000001">
      <c r="A16" s="4">
        <v>120</v>
      </c>
      <c r="B16" s="4" t="s">
        <v>215</v>
      </c>
      <c r="C16" s="5">
        <v>6.6</v>
      </c>
      <c r="D16" s="5">
        <v>6.55</v>
      </c>
      <c r="E16" s="5">
        <v>6.65</v>
      </c>
      <c r="F16" s="5">
        <v>1.9</v>
      </c>
      <c r="G16" s="7">
        <v>0.40429999999999999</v>
      </c>
      <c r="H16" s="5">
        <v>4017</v>
      </c>
      <c r="I16" s="5">
        <v>954</v>
      </c>
      <c r="J16" s="6">
        <v>0.25979999999999998</v>
      </c>
    </row>
    <row r="17" spans="1:10" ht="18.600000000000001">
      <c r="A17" s="4">
        <v>125</v>
      </c>
      <c r="B17" s="4" t="s">
        <v>216</v>
      </c>
      <c r="C17" s="5">
        <v>4.3499999999999996</v>
      </c>
      <c r="D17" s="5">
        <v>4.3499999999999996</v>
      </c>
      <c r="E17" s="5">
        <v>4.45</v>
      </c>
      <c r="F17" s="5">
        <v>1.35</v>
      </c>
      <c r="G17" s="7">
        <v>0.45</v>
      </c>
      <c r="H17" s="5">
        <v>1144</v>
      </c>
      <c r="I17" s="5">
        <v>3015</v>
      </c>
      <c r="J17" s="6">
        <v>0.2515</v>
      </c>
    </row>
    <row r="18" spans="1:10" ht="18.600000000000001">
      <c r="A18" s="4">
        <v>130</v>
      </c>
      <c r="B18" s="4" t="s">
        <v>217</v>
      </c>
      <c r="C18" s="5">
        <v>2.82</v>
      </c>
      <c r="D18" s="5">
        <v>2.8</v>
      </c>
      <c r="E18" s="5">
        <v>2.85</v>
      </c>
      <c r="F18" s="5">
        <v>1.02</v>
      </c>
      <c r="G18" s="7">
        <v>0.56669999999999998</v>
      </c>
      <c r="H18" s="5">
        <v>1159</v>
      </c>
      <c r="I18" s="5">
        <v>1285</v>
      </c>
      <c r="J18" s="6">
        <v>0.24590000000000001</v>
      </c>
    </row>
    <row r="19" spans="1:10" ht="18.600000000000001">
      <c r="A19" s="4">
        <v>135</v>
      </c>
      <c r="B19" s="4" t="s">
        <v>218</v>
      </c>
      <c r="C19" s="5">
        <v>1.76</v>
      </c>
      <c r="D19" s="5">
        <v>1.69</v>
      </c>
      <c r="E19" s="5">
        <v>1.77</v>
      </c>
      <c r="F19" s="5">
        <v>0.73</v>
      </c>
      <c r="G19" s="7">
        <v>0.7087</v>
      </c>
      <c r="H19" s="5">
        <v>563</v>
      </c>
      <c r="I19" s="5">
        <v>496</v>
      </c>
      <c r="J19" s="6">
        <v>0.2429</v>
      </c>
    </row>
    <row r="20" spans="1:10" ht="18.600000000000001">
      <c r="A20" s="4">
        <v>140</v>
      </c>
      <c r="B20" s="4" t="s">
        <v>219</v>
      </c>
      <c r="C20" s="5">
        <v>0.99</v>
      </c>
      <c r="D20" s="5">
        <v>1.01</v>
      </c>
      <c r="E20" s="5">
        <v>1.08</v>
      </c>
      <c r="F20" s="5">
        <v>0.42</v>
      </c>
      <c r="G20" s="7">
        <v>0.73680000000000001</v>
      </c>
      <c r="H20" s="5">
        <v>173</v>
      </c>
      <c r="I20" s="5">
        <v>458</v>
      </c>
      <c r="J20" s="6">
        <v>0.24229999999999999</v>
      </c>
    </row>
    <row r="21" spans="1:10" ht="18.600000000000001">
      <c r="A21" s="4">
        <v>145</v>
      </c>
      <c r="B21" s="4" t="s">
        <v>220</v>
      </c>
      <c r="C21" s="5">
        <v>0.63</v>
      </c>
      <c r="D21" s="5">
        <v>0.62</v>
      </c>
      <c r="E21" s="5">
        <v>0.66</v>
      </c>
      <c r="F21" s="5">
        <v>0.23</v>
      </c>
      <c r="G21" s="7">
        <v>0.57499999999999996</v>
      </c>
      <c r="H21" s="5">
        <v>101</v>
      </c>
      <c r="I21" s="5">
        <v>130</v>
      </c>
      <c r="J21" s="6">
        <v>0.24390000000000001</v>
      </c>
    </row>
    <row r="22" spans="1:10" ht="18.600000000000001">
      <c r="A22" s="4">
        <v>150</v>
      </c>
      <c r="B22" s="4" t="s">
        <v>221</v>
      </c>
      <c r="C22" s="5">
        <v>0.39</v>
      </c>
      <c r="D22" s="5">
        <v>0.36</v>
      </c>
      <c r="E22" s="5">
        <v>0.45</v>
      </c>
      <c r="F22" s="5">
        <v>0.12</v>
      </c>
      <c r="G22" s="7">
        <v>0.44440000000000002</v>
      </c>
      <c r="H22" s="5">
        <v>77</v>
      </c>
      <c r="I22" s="5">
        <v>463</v>
      </c>
      <c r="J22" s="6">
        <v>0.252</v>
      </c>
    </row>
    <row r="23" spans="1:10" ht="16.8">
      <c r="A23" s="15" t="s">
        <v>45</v>
      </c>
      <c r="B23" s="16"/>
      <c r="C23" s="16"/>
      <c r="D23" s="16"/>
      <c r="E23" s="16"/>
      <c r="F23" s="16"/>
      <c r="G23" s="16"/>
      <c r="H23" s="16"/>
      <c r="I23" s="16"/>
      <c r="J23" s="16"/>
    </row>
    <row r="24" spans="1:10" ht="19.2">
      <c r="A24" s="1" t="s">
        <v>4</v>
      </c>
      <c r="B24" s="17" t="s">
        <v>5</v>
      </c>
      <c r="C24" s="17" t="s">
        <v>6</v>
      </c>
      <c r="D24" s="17" t="s">
        <v>7</v>
      </c>
      <c r="E24" s="17" t="s">
        <v>8</v>
      </c>
      <c r="F24" s="17" t="s">
        <v>9</v>
      </c>
      <c r="G24" s="17" t="s">
        <v>10</v>
      </c>
      <c r="H24" s="17" t="s">
        <v>11</v>
      </c>
      <c r="I24" s="17" t="s">
        <v>12</v>
      </c>
      <c r="J24" s="17" t="s">
        <v>13</v>
      </c>
    </row>
    <row r="25" spans="1:10">
      <c r="A25" s="2" t="s">
        <v>14</v>
      </c>
      <c r="B25" s="17"/>
      <c r="C25" s="17"/>
      <c r="D25" s="17"/>
      <c r="E25" s="17"/>
      <c r="F25" s="17"/>
      <c r="G25" s="17"/>
      <c r="H25" s="17"/>
      <c r="I25" s="17"/>
      <c r="J25" s="17"/>
    </row>
    <row r="26" spans="1:10">
      <c r="A26" s="3" t="s">
        <v>15</v>
      </c>
      <c r="B26" s="17"/>
      <c r="C26" s="17"/>
      <c r="D26" s="17"/>
      <c r="E26" s="17"/>
      <c r="F26" s="17"/>
      <c r="G26" s="17"/>
      <c r="H26" s="17"/>
      <c r="I26" s="17"/>
      <c r="J26" s="17"/>
    </row>
    <row r="27" spans="1:10" ht="18.600000000000001">
      <c r="A27" s="4">
        <v>60</v>
      </c>
      <c r="B27" s="4" t="s">
        <v>222</v>
      </c>
      <c r="C27" s="5">
        <v>0.16</v>
      </c>
      <c r="D27" s="5">
        <v>0.05</v>
      </c>
      <c r="E27" s="5">
        <v>0.11</v>
      </c>
      <c r="F27" s="5">
        <v>0</v>
      </c>
      <c r="G27" s="6">
        <v>0</v>
      </c>
      <c r="H27" s="5">
        <v>35</v>
      </c>
      <c r="I27" s="5">
        <v>35</v>
      </c>
      <c r="J27" s="6">
        <v>0.51170000000000004</v>
      </c>
    </row>
    <row r="28" spans="1:10" ht="18.600000000000001">
      <c r="A28" s="4">
        <v>65</v>
      </c>
      <c r="B28" s="4" t="s">
        <v>223</v>
      </c>
      <c r="C28" s="5">
        <v>0.23</v>
      </c>
      <c r="D28" s="5">
        <v>0.1</v>
      </c>
      <c r="E28" s="5">
        <v>0.17</v>
      </c>
      <c r="F28" s="5">
        <v>0.01</v>
      </c>
      <c r="G28" s="7">
        <v>4.5499999999999999E-2</v>
      </c>
      <c r="H28" s="5">
        <v>4</v>
      </c>
      <c r="I28" s="5">
        <v>18</v>
      </c>
      <c r="J28" s="6">
        <v>0.50590000000000002</v>
      </c>
    </row>
    <row r="29" spans="1:10" ht="18.600000000000001">
      <c r="A29" s="4">
        <v>70</v>
      </c>
      <c r="B29" s="4" t="s">
        <v>224</v>
      </c>
      <c r="C29" s="5">
        <v>0.38</v>
      </c>
      <c r="D29" s="5">
        <v>0.17</v>
      </c>
      <c r="E29" s="5">
        <v>0.24</v>
      </c>
      <c r="F29" s="5">
        <v>0</v>
      </c>
      <c r="G29" s="6">
        <v>0</v>
      </c>
      <c r="H29" s="5">
        <v>10</v>
      </c>
      <c r="I29" s="5">
        <v>10</v>
      </c>
      <c r="J29" s="6">
        <v>0.47560000000000002</v>
      </c>
    </row>
    <row r="30" spans="1:10" ht="18.600000000000001">
      <c r="A30" s="4">
        <v>75</v>
      </c>
      <c r="B30" s="4" t="s">
        <v>225</v>
      </c>
      <c r="C30" s="5">
        <v>0.32</v>
      </c>
      <c r="D30" s="5">
        <v>0.26</v>
      </c>
      <c r="E30" s="5">
        <v>0.33</v>
      </c>
      <c r="F30" s="5">
        <v>-7.0000000000000007E-2</v>
      </c>
      <c r="G30" s="8">
        <v>-0.17949999999999999</v>
      </c>
      <c r="H30" s="5">
        <v>6</v>
      </c>
      <c r="I30" s="5">
        <v>44</v>
      </c>
      <c r="J30" s="6">
        <v>0.44429999999999997</v>
      </c>
    </row>
    <row r="31" spans="1:10" ht="18.600000000000001">
      <c r="A31" s="4">
        <v>80</v>
      </c>
      <c r="B31" s="4" t="s">
        <v>226</v>
      </c>
      <c r="C31" s="5">
        <v>0.42</v>
      </c>
      <c r="D31" s="5">
        <v>0.38</v>
      </c>
      <c r="E31" s="5">
        <v>0.47</v>
      </c>
      <c r="F31" s="5">
        <v>-0.2</v>
      </c>
      <c r="G31" s="8">
        <v>-0.3226</v>
      </c>
      <c r="H31" s="5">
        <v>2</v>
      </c>
      <c r="I31" s="5">
        <v>30</v>
      </c>
      <c r="J31" s="6">
        <v>0.41820000000000002</v>
      </c>
    </row>
    <row r="32" spans="1:10" ht="18.600000000000001">
      <c r="A32" s="4">
        <v>85</v>
      </c>
      <c r="B32" s="4" t="s">
        <v>227</v>
      </c>
      <c r="C32" s="5">
        <v>0.65</v>
      </c>
      <c r="D32" s="5">
        <v>0.56000000000000005</v>
      </c>
      <c r="E32" s="5">
        <v>0.65</v>
      </c>
      <c r="F32" s="5">
        <v>-0.32</v>
      </c>
      <c r="G32" s="8">
        <v>-0.32990000000000003</v>
      </c>
      <c r="H32" s="5">
        <v>2</v>
      </c>
      <c r="I32" s="5">
        <v>105</v>
      </c>
      <c r="J32" s="6">
        <v>0.3906</v>
      </c>
    </row>
    <row r="33" spans="1:10" ht="18.600000000000001">
      <c r="A33" s="4">
        <v>90</v>
      </c>
      <c r="B33" s="4" t="s">
        <v>228</v>
      </c>
      <c r="C33" s="5">
        <v>0.89</v>
      </c>
      <c r="D33" s="5">
        <v>0.83</v>
      </c>
      <c r="E33" s="5">
        <v>0.92</v>
      </c>
      <c r="F33" s="5">
        <v>-0.41</v>
      </c>
      <c r="G33" s="8">
        <v>-0.31540000000000001</v>
      </c>
      <c r="H33" s="5">
        <v>35</v>
      </c>
      <c r="I33" s="5">
        <v>64</v>
      </c>
      <c r="J33" s="6">
        <v>0.36649999999999999</v>
      </c>
    </row>
    <row r="34" spans="1:10" ht="18.600000000000001">
      <c r="A34" s="4">
        <v>95</v>
      </c>
      <c r="B34" s="4" t="s">
        <v>229</v>
      </c>
      <c r="C34" s="5">
        <v>1.3</v>
      </c>
      <c r="D34" s="5">
        <v>1.24</v>
      </c>
      <c r="E34" s="5">
        <v>1.32</v>
      </c>
      <c r="F34" s="5">
        <v>-0.4</v>
      </c>
      <c r="G34" s="8">
        <v>-0.23530000000000001</v>
      </c>
      <c r="H34" s="5">
        <v>131</v>
      </c>
      <c r="I34" s="5">
        <v>494</v>
      </c>
      <c r="J34" s="6">
        <v>0.34470000000000001</v>
      </c>
    </row>
    <row r="35" spans="1:10" ht="18.600000000000001">
      <c r="A35" s="4">
        <v>100</v>
      </c>
      <c r="B35" s="4" t="s">
        <v>230</v>
      </c>
      <c r="C35" s="5">
        <v>1.91</v>
      </c>
      <c r="D35" s="5">
        <v>1.87</v>
      </c>
      <c r="E35" s="5">
        <v>1.96</v>
      </c>
      <c r="F35" s="5">
        <v>-0.59</v>
      </c>
      <c r="G35" s="8">
        <v>-0.23599999999999999</v>
      </c>
      <c r="H35" s="5">
        <v>55</v>
      </c>
      <c r="I35" s="5">
        <v>463</v>
      </c>
      <c r="J35" s="6">
        <v>0.3286</v>
      </c>
    </row>
    <row r="36" spans="1:10" ht="18.600000000000001">
      <c r="A36" s="4">
        <v>105</v>
      </c>
      <c r="B36" s="4" t="s">
        <v>231</v>
      </c>
      <c r="C36" s="5">
        <v>2.82</v>
      </c>
      <c r="D36" s="5">
        <v>2.82</v>
      </c>
      <c r="E36" s="5">
        <v>2.88</v>
      </c>
      <c r="F36" s="5">
        <v>-1.03</v>
      </c>
      <c r="G36" s="8">
        <v>-0.26750000000000002</v>
      </c>
      <c r="H36" s="5">
        <v>102</v>
      </c>
      <c r="I36" s="5">
        <v>2041</v>
      </c>
      <c r="J36" s="6">
        <v>0.31430000000000002</v>
      </c>
    </row>
    <row r="37" spans="1:10" ht="18.600000000000001">
      <c r="A37" s="4">
        <v>110</v>
      </c>
      <c r="B37" s="4" t="s">
        <v>232</v>
      </c>
      <c r="C37" s="5">
        <v>4.0999999999999996</v>
      </c>
      <c r="D37" s="5">
        <v>4.05</v>
      </c>
      <c r="E37" s="5">
        <v>4.2</v>
      </c>
      <c r="F37" s="5">
        <v>-1.5</v>
      </c>
      <c r="G37" s="8">
        <v>-0.26790000000000003</v>
      </c>
      <c r="H37" s="5">
        <v>1419</v>
      </c>
      <c r="I37" s="5">
        <v>846</v>
      </c>
      <c r="J37" s="6">
        <v>0.30309999999999998</v>
      </c>
    </row>
    <row r="38" spans="1:10" ht="18.600000000000001">
      <c r="A38" s="4">
        <v>115</v>
      </c>
      <c r="B38" s="4" t="s">
        <v>233</v>
      </c>
      <c r="C38" s="5">
        <v>6</v>
      </c>
      <c r="D38" s="5">
        <v>5.85</v>
      </c>
      <c r="E38" s="5">
        <v>5.95</v>
      </c>
      <c r="F38" s="5">
        <v>-1.5</v>
      </c>
      <c r="G38" s="8">
        <v>-0.2</v>
      </c>
      <c r="H38" s="5">
        <v>56</v>
      </c>
      <c r="I38" s="5">
        <v>161</v>
      </c>
      <c r="J38" s="6">
        <v>0.29260000000000003</v>
      </c>
    </row>
    <row r="39" spans="1:10" ht="18.600000000000001">
      <c r="A39" s="4">
        <v>120</v>
      </c>
      <c r="B39" s="4" t="s">
        <v>234</v>
      </c>
      <c r="C39" s="5">
        <v>8.1199999999999992</v>
      </c>
      <c r="D39" s="5">
        <v>8.1</v>
      </c>
      <c r="E39" s="5">
        <v>8.3000000000000007</v>
      </c>
      <c r="F39" s="5">
        <v>-2.34</v>
      </c>
      <c r="G39" s="8">
        <v>-0.22370000000000001</v>
      </c>
      <c r="H39" s="5">
        <v>92</v>
      </c>
      <c r="I39" s="5">
        <v>22</v>
      </c>
      <c r="J39" s="6">
        <v>0.2868</v>
      </c>
    </row>
    <row r="40" spans="1:10" ht="18.600000000000001">
      <c r="A40" s="4">
        <v>125</v>
      </c>
      <c r="B40" s="4" t="s">
        <v>235</v>
      </c>
      <c r="C40" s="5">
        <v>11.25</v>
      </c>
      <c r="D40" s="5">
        <v>11</v>
      </c>
      <c r="E40" s="5">
        <v>11.15</v>
      </c>
      <c r="F40" s="5">
        <v>-2.95</v>
      </c>
      <c r="G40" s="8">
        <v>-0.2077</v>
      </c>
      <c r="H40" s="5">
        <v>70</v>
      </c>
      <c r="I40" s="5">
        <v>224</v>
      </c>
      <c r="J40" s="6">
        <v>0.28120000000000001</v>
      </c>
    </row>
    <row r="41" spans="1:10" ht="18.600000000000001">
      <c r="A41" s="4">
        <v>130</v>
      </c>
      <c r="B41" s="4" t="s">
        <v>236</v>
      </c>
      <c r="C41" s="5">
        <v>14.85</v>
      </c>
      <c r="D41" s="5">
        <v>14.4</v>
      </c>
      <c r="E41" s="5">
        <v>14.6</v>
      </c>
      <c r="F41" s="5">
        <v>-2.25</v>
      </c>
      <c r="G41" s="8">
        <v>-0.13159999999999999</v>
      </c>
      <c r="H41" s="5">
        <v>120</v>
      </c>
      <c r="I41" s="5">
        <v>33</v>
      </c>
      <c r="J41" s="6">
        <v>0.28070000000000001</v>
      </c>
    </row>
    <row r="42" spans="1:10" ht="18.600000000000001">
      <c r="A42" s="4">
        <v>135</v>
      </c>
      <c r="B42" s="4" t="s">
        <v>237</v>
      </c>
      <c r="C42" s="5">
        <v>18.850000000000001</v>
      </c>
      <c r="D42" s="5">
        <v>18.3</v>
      </c>
      <c r="E42" s="5">
        <v>18.55</v>
      </c>
      <c r="F42" s="5">
        <v>-2.95</v>
      </c>
      <c r="G42" s="8">
        <v>-0.1353</v>
      </c>
      <c r="H42" s="5">
        <v>151</v>
      </c>
      <c r="I42" s="5">
        <v>175</v>
      </c>
      <c r="J42" s="6">
        <v>0.28520000000000001</v>
      </c>
    </row>
    <row r="43" spans="1:10" ht="18.600000000000001">
      <c r="A43" s="4">
        <v>155</v>
      </c>
      <c r="B43" s="4" t="s">
        <v>238</v>
      </c>
      <c r="C43" s="5">
        <v>44.75</v>
      </c>
      <c r="D43" s="5">
        <v>36.75</v>
      </c>
      <c r="E43" s="5">
        <v>37.049999999999997</v>
      </c>
      <c r="F43" s="5">
        <v>0</v>
      </c>
      <c r="G43" s="6">
        <v>0</v>
      </c>
      <c r="H43" s="5">
        <v>17</v>
      </c>
      <c r="I43" s="5">
        <v>17</v>
      </c>
      <c r="J43" s="6">
        <v>0.34489999999999998</v>
      </c>
    </row>
    <row r="44" spans="1:10" ht="18.600000000000001">
      <c r="A44" s="4">
        <v>160</v>
      </c>
      <c r="B44" s="4" t="s">
        <v>239</v>
      </c>
      <c r="C44" s="5">
        <v>46.85</v>
      </c>
      <c r="D44" s="5">
        <v>41.7</v>
      </c>
      <c r="E44" s="5">
        <v>42</v>
      </c>
      <c r="F44" s="5">
        <v>0</v>
      </c>
      <c r="G44" s="6">
        <v>0</v>
      </c>
      <c r="H44" s="5">
        <v>8</v>
      </c>
      <c r="I44" s="5">
        <v>8</v>
      </c>
      <c r="J44" s="6">
        <v>0.36980000000000002</v>
      </c>
    </row>
  </sheetData>
  <mergeCells count="20">
    <mergeCell ref="A3:J3"/>
    <mergeCell ref="B4:B6"/>
    <mergeCell ref="C4:C6"/>
    <mergeCell ref="D4:D6"/>
    <mergeCell ref="E4:E6"/>
    <mergeCell ref="F4:F6"/>
    <mergeCell ref="G4:G6"/>
    <mergeCell ref="H4:H6"/>
    <mergeCell ref="I4:I6"/>
    <mergeCell ref="J4:J6"/>
    <mergeCell ref="A23:J23"/>
    <mergeCell ref="B24:B26"/>
    <mergeCell ref="C24:C26"/>
    <mergeCell ref="D24:D26"/>
    <mergeCell ref="E24:E26"/>
    <mergeCell ref="F24:F26"/>
    <mergeCell ref="G24:G26"/>
    <mergeCell ref="H24:H26"/>
    <mergeCell ref="I24:I26"/>
    <mergeCell ref="J24:J26"/>
  </mergeCells>
  <hyperlinks>
    <hyperlink ref="A7" r:id="rId1" display="http://finance.yahoo.com/q/op?s=AAPL&amp;strike=70.00" xr:uid="{00000000-0004-0000-0300-000000000000}"/>
    <hyperlink ref="B7" r:id="rId2" xr:uid="{00000000-0004-0000-0300-000001000000}"/>
    <hyperlink ref="A8" r:id="rId3" display="http://finance.yahoo.com/q/op?s=AAPL&amp;strike=75.00" xr:uid="{00000000-0004-0000-0300-000002000000}"/>
    <hyperlink ref="B8" r:id="rId4" xr:uid="{00000000-0004-0000-0300-000003000000}"/>
    <hyperlink ref="A9" r:id="rId5" display="http://finance.yahoo.com/q/op?s=AAPL&amp;strike=80.00" xr:uid="{00000000-0004-0000-0300-000004000000}"/>
    <hyperlink ref="B9" r:id="rId6" xr:uid="{00000000-0004-0000-0300-000005000000}"/>
    <hyperlink ref="A10" r:id="rId7" display="http://finance.yahoo.com/q/op?s=AAPL&amp;strike=90.00" xr:uid="{00000000-0004-0000-0300-000006000000}"/>
    <hyperlink ref="B10" r:id="rId8" xr:uid="{00000000-0004-0000-0300-000007000000}"/>
    <hyperlink ref="A11" r:id="rId9" display="http://finance.yahoo.com/q/op?s=AAPL&amp;strike=95.00" xr:uid="{00000000-0004-0000-0300-000008000000}"/>
    <hyperlink ref="B11" r:id="rId10" xr:uid="{00000000-0004-0000-0300-000009000000}"/>
    <hyperlink ref="A12" r:id="rId11" display="http://finance.yahoo.com/q/op?s=AAPL&amp;strike=100.00" xr:uid="{00000000-0004-0000-0300-00000A000000}"/>
    <hyperlink ref="B12" r:id="rId12" xr:uid="{00000000-0004-0000-0300-00000B000000}"/>
    <hyperlink ref="A13" r:id="rId13" display="http://finance.yahoo.com/q/op?s=AAPL&amp;strike=105.00" xr:uid="{00000000-0004-0000-0300-00000C000000}"/>
    <hyperlink ref="B13" r:id="rId14" xr:uid="{00000000-0004-0000-0300-00000D000000}"/>
    <hyperlink ref="A14" r:id="rId15" display="http://finance.yahoo.com/q/op?s=AAPL&amp;strike=110.00" xr:uid="{00000000-0004-0000-0300-00000E000000}"/>
    <hyperlink ref="B14" r:id="rId16" xr:uid="{00000000-0004-0000-0300-00000F000000}"/>
    <hyperlink ref="A15" r:id="rId17" display="http://finance.yahoo.com/q/op?s=AAPL&amp;strike=115.00" xr:uid="{00000000-0004-0000-0300-000010000000}"/>
    <hyperlink ref="B15" r:id="rId18" xr:uid="{00000000-0004-0000-0300-000011000000}"/>
    <hyperlink ref="A16" r:id="rId19" display="http://finance.yahoo.com/q/op?s=AAPL&amp;strike=120.00" xr:uid="{00000000-0004-0000-0300-000012000000}"/>
    <hyperlink ref="B16" r:id="rId20" xr:uid="{00000000-0004-0000-0300-000013000000}"/>
    <hyperlink ref="A17" r:id="rId21" display="http://finance.yahoo.com/q/op?s=AAPL&amp;strike=125.00" xr:uid="{00000000-0004-0000-0300-000014000000}"/>
    <hyperlink ref="B17" r:id="rId22" xr:uid="{00000000-0004-0000-0300-000015000000}"/>
    <hyperlink ref="A18" r:id="rId23" display="http://finance.yahoo.com/q/op?s=AAPL&amp;strike=130.00" xr:uid="{00000000-0004-0000-0300-000016000000}"/>
    <hyperlink ref="B18" r:id="rId24" xr:uid="{00000000-0004-0000-0300-000017000000}"/>
    <hyperlink ref="A19" r:id="rId25" display="http://finance.yahoo.com/q/op?s=AAPL&amp;strike=135.00" xr:uid="{00000000-0004-0000-0300-000018000000}"/>
    <hyperlink ref="B19" r:id="rId26" xr:uid="{00000000-0004-0000-0300-000019000000}"/>
    <hyperlink ref="A20" r:id="rId27" display="http://finance.yahoo.com/q/op?s=AAPL&amp;strike=140.00" xr:uid="{00000000-0004-0000-0300-00001A000000}"/>
    <hyperlink ref="B20" r:id="rId28" xr:uid="{00000000-0004-0000-0300-00001B000000}"/>
    <hyperlink ref="A21" r:id="rId29" display="http://finance.yahoo.com/q/op?s=AAPL&amp;strike=145.00" xr:uid="{00000000-0004-0000-0300-00001C000000}"/>
    <hyperlink ref="B21" r:id="rId30" xr:uid="{00000000-0004-0000-0300-00001D000000}"/>
    <hyperlink ref="A22" r:id="rId31" display="http://finance.yahoo.com/q/op?s=AAPL&amp;strike=150.00" xr:uid="{00000000-0004-0000-0300-00001E000000}"/>
    <hyperlink ref="B22" r:id="rId32" xr:uid="{00000000-0004-0000-0300-00001F000000}"/>
    <hyperlink ref="A27" r:id="rId33" display="http://finance.yahoo.com/q/op?s=AAPL&amp;strike=60.00" xr:uid="{00000000-0004-0000-0300-000020000000}"/>
    <hyperlink ref="B27" r:id="rId34" xr:uid="{00000000-0004-0000-0300-000021000000}"/>
    <hyperlink ref="A28" r:id="rId35" display="http://finance.yahoo.com/q/op?s=AAPL&amp;strike=65.00" xr:uid="{00000000-0004-0000-0300-000022000000}"/>
    <hyperlink ref="B28" r:id="rId36" xr:uid="{00000000-0004-0000-0300-000023000000}"/>
    <hyperlink ref="A29" r:id="rId37" display="http://finance.yahoo.com/q/op?s=AAPL&amp;strike=70.00" xr:uid="{00000000-0004-0000-0300-000024000000}"/>
    <hyperlink ref="B29" r:id="rId38" xr:uid="{00000000-0004-0000-0300-000025000000}"/>
    <hyperlink ref="A30" r:id="rId39" display="http://finance.yahoo.com/q/op?s=AAPL&amp;strike=75.00" xr:uid="{00000000-0004-0000-0300-000026000000}"/>
    <hyperlink ref="B30" r:id="rId40" xr:uid="{00000000-0004-0000-0300-000027000000}"/>
    <hyperlink ref="A31" r:id="rId41" display="http://finance.yahoo.com/q/op?s=AAPL&amp;strike=80.00" xr:uid="{00000000-0004-0000-0300-000028000000}"/>
    <hyperlink ref="B31" r:id="rId42" xr:uid="{00000000-0004-0000-0300-000029000000}"/>
    <hyperlink ref="A32" r:id="rId43" display="http://finance.yahoo.com/q/op?s=AAPL&amp;strike=85.00" xr:uid="{00000000-0004-0000-0300-00002A000000}"/>
    <hyperlink ref="B32" r:id="rId44" xr:uid="{00000000-0004-0000-0300-00002B000000}"/>
    <hyperlink ref="A33" r:id="rId45" display="http://finance.yahoo.com/q/op?s=AAPL&amp;strike=90.00" xr:uid="{00000000-0004-0000-0300-00002C000000}"/>
    <hyperlink ref="B33" r:id="rId46" xr:uid="{00000000-0004-0000-0300-00002D000000}"/>
    <hyperlink ref="A34" r:id="rId47" display="http://finance.yahoo.com/q/op?s=AAPL&amp;strike=95.00" xr:uid="{00000000-0004-0000-0300-00002E000000}"/>
    <hyperlink ref="B34" r:id="rId48" xr:uid="{00000000-0004-0000-0300-00002F000000}"/>
    <hyperlink ref="A35" r:id="rId49" display="http://finance.yahoo.com/q/op?s=AAPL&amp;strike=100.00" xr:uid="{00000000-0004-0000-0300-000030000000}"/>
    <hyperlink ref="B35" r:id="rId50" xr:uid="{00000000-0004-0000-0300-000031000000}"/>
    <hyperlink ref="A36" r:id="rId51" display="http://finance.yahoo.com/q/op?s=AAPL&amp;strike=105.00" xr:uid="{00000000-0004-0000-0300-000032000000}"/>
    <hyperlink ref="B36" r:id="rId52" xr:uid="{00000000-0004-0000-0300-000033000000}"/>
    <hyperlink ref="A37" r:id="rId53" display="http://finance.yahoo.com/q/op?s=AAPL&amp;strike=110.00" xr:uid="{00000000-0004-0000-0300-000034000000}"/>
    <hyperlink ref="B37" r:id="rId54" xr:uid="{00000000-0004-0000-0300-000035000000}"/>
    <hyperlink ref="A38" r:id="rId55" display="http://finance.yahoo.com/q/op?s=AAPL&amp;strike=115.00" xr:uid="{00000000-0004-0000-0300-000036000000}"/>
    <hyperlink ref="B38" r:id="rId56" xr:uid="{00000000-0004-0000-0300-000037000000}"/>
    <hyperlink ref="A39" r:id="rId57" display="http://finance.yahoo.com/q/op?s=AAPL&amp;strike=120.00" xr:uid="{00000000-0004-0000-0300-000038000000}"/>
    <hyperlink ref="B39" r:id="rId58" xr:uid="{00000000-0004-0000-0300-000039000000}"/>
    <hyperlink ref="A40" r:id="rId59" display="http://finance.yahoo.com/q/op?s=AAPL&amp;strike=125.00" xr:uid="{00000000-0004-0000-0300-00003A000000}"/>
    <hyperlink ref="B40" r:id="rId60" xr:uid="{00000000-0004-0000-0300-00003B000000}"/>
    <hyperlink ref="A41" r:id="rId61" display="http://finance.yahoo.com/q/op?s=AAPL&amp;strike=130.00" xr:uid="{00000000-0004-0000-0300-00003C000000}"/>
    <hyperlink ref="B41" r:id="rId62" xr:uid="{00000000-0004-0000-0300-00003D000000}"/>
    <hyperlink ref="A42" r:id="rId63" display="http://finance.yahoo.com/q/op?s=AAPL&amp;strike=135.00" xr:uid="{00000000-0004-0000-0300-00003E000000}"/>
    <hyperlink ref="B42" r:id="rId64" xr:uid="{00000000-0004-0000-0300-00003F000000}"/>
    <hyperlink ref="A43" r:id="rId65" display="http://finance.yahoo.com/q/op?s=AAPL&amp;strike=155.00" xr:uid="{00000000-0004-0000-0300-000040000000}"/>
    <hyperlink ref="B43" r:id="rId66" xr:uid="{00000000-0004-0000-0300-000041000000}"/>
    <hyperlink ref="A44" r:id="rId67" display="http://finance.yahoo.com/q/op?s=AAPL&amp;strike=160.00" xr:uid="{00000000-0004-0000-0300-000042000000}"/>
    <hyperlink ref="B44" r:id="rId68" xr:uid="{00000000-0004-0000-0300-000043000000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68"/>
  <sheetViews>
    <sheetView topLeftCell="A4" workbookViewId="0">
      <selection activeCell="J14" sqref="A14:J26"/>
    </sheetView>
  </sheetViews>
  <sheetFormatPr defaultColWidth="11" defaultRowHeight="15.6"/>
  <cols>
    <col min="2" max="2" width="22.59765625" customWidth="1"/>
    <col min="7" max="7" width="13.5" customWidth="1"/>
  </cols>
  <sheetData>
    <row r="1" spans="1:10">
      <c r="A1" t="s">
        <v>240</v>
      </c>
    </row>
    <row r="3" spans="1:10" ht="16.8">
      <c r="A3" s="15" t="s">
        <v>2</v>
      </c>
      <c r="B3" s="16"/>
      <c r="C3" s="16"/>
      <c r="D3" s="16"/>
      <c r="E3" s="16"/>
      <c r="F3" s="16"/>
      <c r="G3" s="16"/>
      <c r="H3" s="16"/>
      <c r="I3" s="16"/>
      <c r="J3" s="16"/>
    </row>
    <row r="4" spans="1:10" ht="19.2">
      <c r="A4" s="1" t="s">
        <v>4</v>
      </c>
      <c r="B4" s="17" t="s">
        <v>5</v>
      </c>
      <c r="C4" s="17" t="s">
        <v>6</v>
      </c>
      <c r="D4" s="17" t="s">
        <v>7</v>
      </c>
      <c r="E4" s="17" t="s">
        <v>8</v>
      </c>
      <c r="F4" s="17" t="s">
        <v>9</v>
      </c>
      <c r="G4" s="17" t="s">
        <v>10</v>
      </c>
      <c r="H4" s="17" t="s">
        <v>11</v>
      </c>
      <c r="I4" s="17" t="s">
        <v>12</v>
      </c>
      <c r="J4" s="17" t="s">
        <v>13</v>
      </c>
    </row>
    <row r="5" spans="1:10">
      <c r="A5" s="2" t="s">
        <v>14</v>
      </c>
      <c r="B5" s="17"/>
      <c r="C5" s="17"/>
      <c r="D5" s="17"/>
      <c r="E5" s="17"/>
      <c r="F5" s="17"/>
      <c r="G5" s="17"/>
      <c r="H5" s="17"/>
      <c r="I5" s="17"/>
      <c r="J5" s="17"/>
    </row>
    <row r="6" spans="1:10">
      <c r="A6" s="3" t="s">
        <v>15</v>
      </c>
      <c r="B6" s="17"/>
      <c r="C6" s="17"/>
      <c r="D6" s="17"/>
      <c r="E6" s="17"/>
      <c r="F6" s="17"/>
      <c r="G6" s="17"/>
      <c r="H6" s="17"/>
      <c r="I6" s="17"/>
      <c r="J6" s="17"/>
    </row>
    <row r="7" spans="1:10" ht="18.600000000000001">
      <c r="A7" s="4">
        <v>55</v>
      </c>
      <c r="B7" s="4" t="s">
        <v>241</v>
      </c>
      <c r="C7" s="5">
        <v>57.35</v>
      </c>
      <c r="D7" s="5">
        <v>63.8</v>
      </c>
      <c r="E7" s="5">
        <v>64.349999999999994</v>
      </c>
      <c r="F7" s="5">
        <v>0</v>
      </c>
      <c r="G7" s="6">
        <v>0</v>
      </c>
      <c r="H7" s="5">
        <v>2</v>
      </c>
      <c r="I7" s="5">
        <v>15</v>
      </c>
      <c r="J7" s="6">
        <v>0.55810000000000004</v>
      </c>
    </row>
    <row r="8" spans="1:10" ht="18.600000000000001">
      <c r="A8" s="4">
        <v>60</v>
      </c>
      <c r="B8" s="4" t="s">
        <v>242</v>
      </c>
      <c r="C8" s="5">
        <v>58.6</v>
      </c>
      <c r="D8" s="5">
        <v>58.8</v>
      </c>
      <c r="E8" s="5">
        <v>59.3</v>
      </c>
      <c r="F8" s="5">
        <v>7.38</v>
      </c>
      <c r="G8" s="7">
        <v>0.14410000000000001</v>
      </c>
      <c r="H8" s="5">
        <v>6</v>
      </c>
      <c r="I8" s="5">
        <v>281</v>
      </c>
      <c r="J8" s="6">
        <v>0.4849</v>
      </c>
    </row>
    <row r="9" spans="1:10" ht="18.600000000000001">
      <c r="A9" s="4">
        <v>65</v>
      </c>
      <c r="B9" s="4" t="s">
        <v>243</v>
      </c>
      <c r="C9" s="5">
        <v>47.3</v>
      </c>
      <c r="D9" s="5">
        <v>53.75</v>
      </c>
      <c r="E9" s="5">
        <v>54.35</v>
      </c>
      <c r="F9" s="5">
        <v>0</v>
      </c>
      <c r="G9" s="6">
        <v>0</v>
      </c>
      <c r="H9" s="5">
        <v>2</v>
      </c>
      <c r="I9" s="5">
        <v>20</v>
      </c>
      <c r="J9" s="6">
        <v>0.44819999999999999</v>
      </c>
    </row>
    <row r="10" spans="1:10" ht="18.600000000000001">
      <c r="A10" s="4">
        <v>70</v>
      </c>
      <c r="B10" s="4" t="s">
        <v>244</v>
      </c>
      <c r="C10" s="5">
        <v>49.05</v>
      </c>
      <c r="D10" s="5">
        <v>48.85</v>
      </c>
      <c r="E10" s="5">
        <v>49.35</v>
      </c>
      <c r="F10" s="5">
        <v>8.73</v>
      </c>
      <c r="G10" s="7">
        <v>0.2165</v>
      </c>
      <c r="H10" s="5">
        <v>4</v>
      </c>
      <c r="I10" s="5">
        <v>69</v>
      </c>
      <c r="J10" s="6">
        <v>0.39939999999999998</v>
      </c>
    </row>
    <row r="11" spans="1:10" ht="18.600000000000001">
      <c r="A11" s="4">
        <v>75</v>
      </c>
      <c r="B11" s="4" t="s">
        <v>245</v>
      </c>
      <c r="C11" s="5">
        <v>39.549999999999997</v>
      </c>
      <c r="D11" s="5">
        <v>43.9</v>
      </c>
      <c r="E11" s="5">
        <v>44.4</v>
      </c>
      <c r="F11" s="5">
        <v>0</v>
      </c>
      <c r="G11" s="6">
        <v>0</v>
      </c>
      <c r="H11" s="5">
        <v>1</v>
      </c>
      <c r="I11" s="5">
        <v>132</v>
      </c>
      <c r="J11" s="6">
        <v>0.36430000000000001</v>
      </c>
    </row>
    <row r="12" spans="1:10" ht="18.600000000000001">
      <c r="A12" s="4">
        <v>80</v>
      </c>
      <c r="B12" s="4" t="s">
        <v>246</v>
      </c>
      <c r="C12" s="5">
        <v>39.25</v>
      </c>
      <c r="D12" s="5">
        <v>39.049999999999997</v>
      </c>
      <c r="E12" s="5">
        <v>39.5</v>
      </c>
      <c r="F12" s="5">
        <v>4.9000000000000004</v>
      </c>
      <c r="G12" s="7">
        <v>0.1426</v>
      </c>
      <c r="H12" s="5">
        <v>22</v>
      </c>
      <c r="I12" s="5">
        <v>580</v>
      </c>
      <c r="J12" s="6">
        <v>0.3372</v>
      </c>
    </row>
    <row r="13" spans="1:10" ht="18.600000000000001">
      <c r="A13" s="4">
        <v>85</v>
      </c>
      <c r="B13" s="4" t="s">
        <v>247</v>
      </c>
      <c r="C13" s="5">
        <v>33.700000000000003</v>
      </c>
      <c r="D13" s="5">
        <v>34.25</v>
      </c>
      <c r="E13" s="5">
        <v>34.700000000000003</v>
      </c>
      <c r="F13" s="5">
        <v>3</v>
      </c>
      <c r="G13" s="7">
        <v>9.7699999999999995E-2</v>
      </c>
      <c r="H13" s="5">
        <v>1</v>
      </c>
      <c r="I13" s="5">
        <v>124</v>
      </c>
      <c r="J13" s="6">
        <v>0.31890000000000002</v>
      </c>
    </row>
    <row r="14" spans="1:10" ht="18.600000000000001">
      <c r="A14" s="4">
        <v>90</v>
      </c>
      <c r="B14" s="4" t="s">
        <v>248</v>
      </c>
      <c r="C14" s="5">
        <v>29.15</v>
      </c>
      <c r="D14" s="5">
        <v>29.7</v>
      </c>
      <c r="E14" s="5">
        <v>30.05</v>
      </c>
      <c r="F14" s="5">
        <v>2.95</v>
      </c>
      <c r="G14" s="7">
        <v>0.11260000000000001</v>
      </c>
      <c r="H14" s="5">
        <v>37</v>
      </c>
      <c r="I14" s="5">
        <v>1485</v>
      </c>
      <c r="J14" s="6">
        <v>0.30640000000000001</v>
      </c>
    </row>
    <row r="15" spans="1:10" ht="18.600000000000001">
      <c r="A15" s="4">
        <v>95</v>
      </c>
      <c r="B15" s="4" t="s">
        <v>249</v>
      </c>
      <c r="C15" s="5">
        <v>25.35</v>
      </c>
      <c r="D15" s="5">
        <v>25.25</v>
      </c>
      <c r="E15" s="5">
        <v>25.65</v>
      </c>
      <c r="F15" s="5">
        <v>3.65</v>
      </c>
      <c r="G15" s="7">
        <v>0.16819999999999999</v>
      </c>
      <c r="H15" s="5">
        <v>19</v>
      </c>
      <c r="I15" s="5">
        <v>1477</v>
      </c>
      <c r="J15" s="6">
        <v>0.30030000000000001</v>
      </c>
    </row>
    <row r="16" spans="1:10" ht="18.600000000000001">
      <c r="A16" s="4">
        <v>100</v>
      </c>
      <c r="B16" s="4" t="s">
        <v>250</v>
      </c>
      <c r="C16" s="5">
        <v>21.2</v>
      </c>
      <c r="D16" s="5">
        <v>21</v>
      </c>
      <c r="E16" s="5">
        <v>21.35</v>
      </c>
      <c r="F16" s="5">
        <v>2.9</v>
      </c>
      <c r="G16" s="7">
        <v>0.1585</v>
      </c>
      <c r="H16" s="5">
        <v>333</v>
      </c>
      <c r="I16" s="5">
        <v>6081</v>
      </c>
      <c r="J16" s="6">
        <v>0.28660000000000002</v>
      </c>
    </row>
    <row r="17" spans="1:10" ht="18.600000000000001">
      <c r="A17" s="4">
        <v>105</v>
      </c>
      <c r="B17" s="4" t="s">
        <v>251</v>
      </c>
      <c r="C17" s="5">
        <v>17.260000000000002</v>
      </c>
      <c r="D17" s="5">
        <v>17.149999999999999</v>
      </c>
      <c r="E17" s="5">
        <v>17.399999999999999</v>
      </c>
      <c r="F17" s="5">
        <v>2.66</v>
      </c>
      <c r="G17" s="7">
        <v>0.1822</v>
      </c>
      <c r="H17" s="5">
        <v>137</v>
      </c>
      <c r="I17" s="5">
        <v>4520</v>
      </c>
      <c r="J17" s="6">
        <v>0.2772</v>
      </c>
    </row>
    <row r="18" spans="1:10" ht="18.600000000000001">
      <c r="A18" s="4">
        <v>110</v>
      </c>
      <c r="B18" s="4" t="s">
        <v>252</v>
      </c>
      <c r="C18" s="5">
        <v>13.75</v>
      </c>
      <c r="D18" s="5">
        <v>13.65</v>
      </c>
      <c r="E18" s="5">
        <v>13.85</v>
      </c>
      <c r="F18" s="5">
        <v>2.4500000000000002</v>
      </c>
      <c r="G18" s="7">
        <v>0.21679999999999999</v>
      </c>
      <c r="H18" s="5">
        <v>649</v>
      </c>
      <c r="I18" s="5">
        <v>13324</v>
      </c>
      <c r="J18" s="6">
        <v>0.27</v>
      </c>
    </row>
    <row r="19" spans="1:10" ht="18.600000000000001">
      <c r="A19" s="4">
        <v>115</v>
      </c>
      <c r="B19" s="4" t="s">
        <v>253</v>
      </c>
      <c r="C19" s="5">
        <v>10.61</v>
      </c>
      <c r="D19" s="5">
        <v>10.5</v>
      </c>
      <c r="E19" s="5">
        <v>10.7</v>
      </c>
      <c r="F19" s="5">
        <v>2.11</v>
      </c>
      <c r="G19" s="7">
        <v>0.2482</v>
      </c>
      <c r="H19" s="5">
        <v>784</v>
      </c>
      <c r="I19" s="5">
        <v>21314</v>
      </c>
      <c r="J19" s="6">
        <v>0.2626</v>
      </c>
    </row>
    <row r="20" spans="1:10" ht="18.600000000000001">
      <c r="A20" s="4">
        <v>120</v>
      </c>
      <c r="B20" s="4" t="s">
        <v>254</v>
      </c>
      <c r="C20" s="5">
        <v>7.95</v>
      </c>
      <c r="D20" s="5">
        <v>7.85</v>
      </c>
      <c r="E20" s="5">
        <v>8.0500000000000007</v>
      </c>
      <c r="F20" s="5">
        <v>1.85</v>
      </c>
      <c r="G20" s="7">
        <v>0.30330000000000001</v>
      </c>
      <c r="H20" s="5">
        <v>2216</v>
      </c>
      <c r="I20" s="5">
        <v>23895</v>
      </c>
      <c r="J20" s="6">
        <v>0.25700000000000001</v>
      </c>
    </row>
    <row r="21" spans="1:10" ht="18.600000000000001">
      <c r="A21" s="4">
        <v>125</v>
      </c>
      <c r="B21" s="4" t="s">
        <v>255</v>
      </c>
      <c r="C21" s="5">
        <v>5.65</v>
      </c>
      <c r="D21" s="5">
        <v>5.6</v>
      </c>
      <c r="E21" s="5">
        <v>5.8</v>
      </c>
      <c r="F21" s="5">
        <v>1.4</v>
      </c>
      <c r="G21" s="7">
        <v>0.32940000000000003</v>
      </c>
      <c r="H21" s="5">
        <v>1095</v>
      </c>
      <c r="I21" s="5">
        <v>21025</v>
      </c>
      <c r="J21" s="6">
        <v>0.24970000000000001</v>
      </c>
    </row>
    <row r="22" spans="1:10" ht="18.600000000000001">
      <c r="A22" s="4">
        <v>130</v>
      </c>
      <c r="B22" s="4" t="s">
        <v>256</v>
      </c>
      <c r="C22" s="5">
        <v>4</v>
      </c>
      <c r="D22" s="5">
        <v>3.85</v>
      </c>
      <c r="E22" s="5">
        <v>4.05</v>
      </c>
      <c r="F22" s="5">
        <v>1.19</v>
      </c>
      <c r="G22" s="7">
        <v>0.42349999999999999</v>
      </c>
      <c r="H22" s="5">
        <v>1501</v>
      </c>
      <c r="I22" s="5">
        <v>16277</v>
      </c>
      <c r="J22" s="6">
        <v>0.24399999999999999</v>
      </c>
    </row>
    <row r="23" spans="1:10" ht="18.600000000000001">
      <c r="A23" s="4">
        <v>135</v>
      </c>
      <c r="B23" s="4" t="s">
        <v>257</v>
      </c>
      <c r="C23" s="5">
        <v>2.73</v>
      </c>
      <c r="D23" s="5">
        <v>2.6</v>
      </c>
      <c r="E23" s="5">
        <v>2.73</v>
      </c>
      <c r="F23" s="5">
        <v>0.85</v>
      </c>
      <c r="G23" s="7">
        <v>0.4521</v>
      </c>
      <c r="H23" s="5">
        <v>705</v>
      </c>
      <c r="I23" s="5">
        <v>7000</v>
      </c>
      <c r="J23" s="6">
        <v>0.23910000000000001</v>
      </c>
    </row>
    <row r="24" spans="1:10" ht="18.600000000000001">
      <c r="A24" s="4">
        <v>140</v>
      </c>
      <c r="B24" s="4" t="s">
        <v>258</v>
      </c>
      <c r="C24" s="5">
        <v>1.72</v>
      </c>
      <c r="D24" s="5">
        <v>1.68</v>
      </c>
      <c r="E24" s="5">
        <v>1.84</v>
      </c>
      <c r="F24" s="5">
        <v>0.52</v>
      </c>
      <c r="G24" s="7">
        <v>0.43330000000000002</v>
      </c>
      <c r="H24" s="5">
        <v>504</v>
      </c>
      <c r="I24" s="5">
        <v>6412</v>
      </c>
      <c r="J24" s="6">
        <v>0.23769999999999999</v>
      </c>
    </row>
    <row r="25" spans="1:10" ht="18.600000000000001">
      <c r="A25" s="4">
        <v>145</v>
      </c>
      <c r="B25" s="4" t="s">
        <v>259</v>
      </c>
      <c r="C25" s="5">
        <v>1.1000000000000001</v>
      </c>
      <c r="D25" s="5">
        <v>1.07</v>
      </c>
      <c r="E25" s="5">
        <v>1.23</v>
      </c>
      <c r="F25" s="5">
        <v>0.4</v>
      </c>
      <c r="G25" s="7">
        <v>0.57140000000000002</v>
      </c>
      <c r="H25" s="5">
        <v>196</v>
      </c>
      <c r="I25" s="5">
        <v>4253</v>
      </c>
      <c r="J25" s="6">
        <v>0.23760000000000001</v>
      </c>
    </row>
    <row r="26" spans="1:10" ht="18.600000000000001">
      <c r="A26" s="4">
        <v>150</v>
      </c>
      <c r="B26" s="4" t="s">
        <v>260</v>
      </c>
      <c r="C26" s="5">
        <v>0.75</v>
      </c>
      <c r="D26" s="5">
        <v>0.7</v>
      </c>
      <c r="E26" s="5">
        <v>0.82</v>
      </c>
      <c r="F26" s="5">
        <v>0.25</v>
      </c>
      <c r="G26" s="7">
        <v>0.5</v>
      </c>
      <c r="H26" s="5">
        <v>155</v>
      </c>
      <c r="I26" s="5">
        <v>38611</v>
      </c>
      <c r="J26" s="6">
        <v>0.2384</v>
      </c>
    </row>
    <row r="27" spans="1:10" ht="18.600000000000001">
      <c r="A27" s="4">
        <v>155</v>
      </c>
      <c r="B27" s="4" t="s">
        <v>261</v>
      </c>
      <c r="C27" s="5">
        <v>0.49</v>
      </c>
      <c r="D27" s="5">
        <v>0.41</v>
      </c>
      <c r="E27" s="5">
        <v>0.54</v>
      </c>
      <c r="F27" s="5">
        <v>0.12</v>
      </c>
      <c r="G27" s="7">
        <v>0.32429999999999998</v>
      </c>
      <c r="H27" s="5">
        <v>118</v>
      </c>
      <c r="I27" s="5">
        <v>758</v>
      </c>
      <c r="J27" s="6">
        <v>0.23930000000000001</v>
      </c>
    </row>
    <row r="28" spans="1:10" ht="18.600000000000001">
      <c r="A28" s="4">
        <v>160</v>
      </c>
      <c r="B28" s="4" t="s">
        <v>262</v>
      </c>
      <c r="C28" s="5">
        <v>0.25</v>
      </c>
      <c r="D28" s="5">
        <v>0.28000000000000003</v>
      </c>
      <c r="E28" s="5">
        <v>0.38</v>
      </c>
      <c r="F28" s="5">
        <v>0</v>
      </c>
      <c r="G28" s="6">
        <v>0</v>
      </c>
      <c r="H28" s="5">
        <v>20</v>
      </c>
      <c r="I28" s="5">
        <v>2439</v>
      </c>
      <c r="J28" s="6">
        <v>0.2437</v>
      </c>
    </row>
    <row r="29" spans="1:10" ht="18.600000000000001">
      <c r="A29" s="4">
        <v>165</v>
      </c>
      <c r="B29" s="4" t="s">
        <v>263</v>
      </c>
      <c r="C29" s="5">
        <v>0.24</v>
      </c>
      <c r="D29" s="5">
        <v>0.17</v>
      </c>
      <c r="E29" s="5">
        <v>0.28999999999999998</v>
      </c>
      <c r="F29" s="5">
        <v>0.12</v>
      </c>
      <c r="G29" s="7">
        <v>1</v>
      </c>
      <c r="H29" s="5">
        <v>50</v>
      </c>
      <c r="I29" s="5">
        <v>945</v>
      </c>
      <c r="J29" s="6">
        <v>0.251</v>
      </c>
    </row>
    <row r="30" spans="1:10" ht="18.600000000000001">
      <c r="A30" s="4">
        <v>170</v>
      </c>
      <c r="B30" s="4" t="s">
        <v>264</v>
      </c>
      <c r="C30" s="5">
        <v>0.15</v>
      </c>
      <c r="D30" s="5">
        <v>0.12</v>
      </c>
      <c r="E30" s="5">
        <v>0.22</v>
      </c>
      <c r="F30" s="5">
        <v>0</v>
      </c>
      <c r="G30" s="6">
        <v>0</v>
      </c>
      <c r="H30" s="5">
        <v>10</v>
      </c>
      <c r="I30" s="5">
        <v>3590</v>
      </c>
      <c r="J30" s="6">
        <v>0.25729999999999997</v>
      </c>
    </row>
    <row r="31" spans="1:10" ht="18.600000000000001">
      <c r="A31" s="4">
        <v>175</v>
      </c>
      <c r="B31" s="4" t="s">
        <v>265</v>
      </c>
      <c r="C31" s="5">
        <v>0.12</v>
      </c>
      <c r="D31" s="5">
        <v>0.09</v>
      </c>
      <c r="E31" s="5">
        <v>0.17</v>
      </c>
      <c r="F31" s="5">
        <v>0</v>
      </c>
      <c r="G31" s="6">
        <v>0</v>
      </c>
      <c r="H31" s="5">
        <v>10</v>
      </c>
      <c r="I31" s="5">
        <v>897</v>
      </c>
      <c r="J31" s="6">
        <v>0.26369999999999999</v>
      </c>
    </row>
    <row r="32" spans="1:10" ht="18.600000000000001">
      <c r="A32" s="4">
        <v>180</v>
      </c>
      <c r="B32" s="4" t="s">
        <v>266</v>
      </c>
      <c r="C32" s="5">
        <v>0.1</v>
      </c>
      <c r="D32" s="5">
        <v>7.0000000000000007E-2</v>
      </c>
      <c r="E32" s="5">
        <v>0.11</v>
      </c>
      <c r="F32" s="5">
        <v>0</v>
      </c>
      <c r="G32" s="6">
        <v>0</v>
      </c>
      <c r="H32" s="5">
        <v>3</v>
      </c>
      <c r="I32" s="5">
        <v>885</v>
      </c>
      <c r="J32" s="6">
        <v>0.26319999999999999</v>
      </c>
    </row>
    <row r="33" spans="1:10" ht="18.600000000000001">
      <c r="A33" s="4">
        <v>185</v>
      </c>
      <c r="B33" s="4" t="s">
        <v>267</v>
      </c>
      <c r="C33" s="5">
        <v>0.09</v>
      </c>
      <c r="D33" s="5">
        <v>0.05</v>
      </c>
      <c r="E33" s="5">
        <v>0.11</v>
      </c>
      <c r="F33" s="5">
        <v>0</v>
      </c>
      <c r="G33" s="6">
        <v>0</v>
      </c>
      <c r="H33" s="5">
        <v>6</v>
      </c>
      <c r="I33" s="5">
        <v>438</v>
      </c>
      <c r="J33" s="6">
        <v>0.27779999999999999</v>
      </c>
    </row>
    <row r="34" spans="1:10" ht="18.600000000000001">
      <c r="A34" s="4">
        <v>190</v>
      </c>
      <c r="B34" s="4" t="s">
        <v>268</v>
      </c>
      <c r="C34" s="5">
        <v>0.2</v>
      </c>
      <c r="D34" s="5">
        <v>0.02</v>
      </c>
      <c r="E34" s="5">
        <v>0.1</v>
      </c>
      <c r="F34" s="5">
        <v>0</v>
      </c>
      <c r="G34" s="6">
        <v>0</v>
      </c>
      <c r="H34" s="5">
        <v>0</v>
      </c>
      <c r="I34" s="5">
        <v>67</v>
      </c>
      <c r="J34" s="6">
        <v>0.28860000000000002</v>
      </c>
    </row>
    <row r="35" spans="1:10" ht="18.600000000000001">
      <c r="A35" s="4">
        <v>195</v>
      </c>
      <c r="B35" s="4" t="s">
        <v>269</v>
      </c>
      <c r="C35" s="5">
        <v>7.0000000000000007E-2</v>
      </c>
      <c r="D35" s="5">
        <v>0.01</v>
      </c>
      <c r="E35" s="5">
        <v>0.09</v>
      </c>
      <c r="F35" s="5">
        <v>0</v>
      </c>
      <c r="G35" s="6">
        <v>0</v>
      </c>
      <c r="H35" s="5">
        <v>20</v>
      </c>
      <c r="I35" s="5">
        <v>3221</v>
      </c>
      <c r="J35" s="6">
        <v>0.2979</v>
      </c>
    </row>
    <row r="36" spans="1:10" ht="16.8">
      <c r="A36" s="15" t="s">
        <v>45</v>
      </c>
      <c r="B36" s="16"/>
      <c r="C36" s="16"/>
      <c r="D36" s="16"/>
      <c r="E36" s="16"/>
      <c r="F36" s="16"/>
      <c r="G36" s="16"/>
      <c r="H36" s="16"/>
      <c r="I36" s="16"/>
      <c r="J36" s="16"/>
    </row>
    <row r="37" spans="1:10" ht="19.2">
      <c r="A37" s="1" t="s">
        <v>4</v>
      </c>
      <c r="B37" s="17" t="s">
        <v>5</v>
      </c>
      <c r="C37" s="17" t="s">
        <v>6</v>
      </c>
      <c r="D37" s="17" t="s">
        <v>7</v>
      </c>
      <c r="E37" s="17" t="s">
        <v>8</v>
      </c>
      <c r="F37" s="17" t="s">
        <v>9</v>
      </c>
      <c r="G37" s="17" t="s">
        <v>10</v>
      </c>
      <c r="H37" s="17" t="s">
        <v>11</v>
      </c>
      <c r="I37" s="17" t="s">
        <v>12</v>
      </c>
      <c r="J37" s="17" t="s">
        <v>13</v>
      </c>
    </row>
    <row r="38" spans="1:10">
      <c r="A38" s="2" t="s">
        <v>14</v>
      </c>
      <c r="B38" s="17"/>
      <c r="C38" s="17"/>
      <c r="D38" s="17"/>
      <c r="E38" s="17"/>
      <c r="F38" s="17"/>
      <c r="G38" s="17"/>
      <c r="H38" s="17"/>
      <c r="I38" s="17"/>
      <c r="J38" s="17"/>
    </row>
    <row r="39" spans="1:10">
      <c r="A39" s="3" t="s">
        <v>15</v>
      </c>
      <c r="B39" s="17"/>
      <c r="C39" s="17"/>
      <c r="D39" s="17"/>
      <c r="E39" s="17"/>
      <c r="F39" s="17"/>
      <c r="G39" s="17"/>
      <c r="H39" s="17"/>
      <c r="I39" s="17"/>
      <c r="J39" s="17"/>
    </row>
    <row r="40" spans="1:10" ht="18.600000000000001">
      <c r="A40" s="4">
        <v>55</v>
      </c>
      <c r="B40" s="4" t="s">
        <v>270</v>
      </c>
      <c r="C40" s="5">
        <v>0.12</v>
      </c>
      <c r="D40" s="5">
        <v>0.09</v>
      </c>
      <c r="E40" s="5">
        <v>0.14000000000000001</v>
      </c>
      <c r="F40" s="5">
        <v>-0.08</v>
      </c>
      <c r="G40" s="8">
        <v>-0.4</v>
      </c>
      <c r="H40" s="5">
        <v>22</v>
      </c>
      <c r="I40" s="5">
        <v>1524</v>
      </c>
      <c r="J40" s="6">
        <v>0.50680000000000003</v>
      </c>
    </row>
    <row r="41" spans="1:10" ht="18.600000000000001">
      <c r="A41" s="4">
        <v>60</v>
      </c>
      <c r="B41" s="4" t="s">
        <v>271</v>
      </c>
      <c r="C41" s="5">
        <v>0.18</v>
      </c>
      <c r="D41" s="5">
        <v>0.11</v>
      </c>
      <c r="E41" s="5">
        <v>0.23</v>
      </c>
      <c r="F41" s="5">
        <v>-0.12</v>
      </c>
      <c r="G41" s="8">
        <v>-0.4</v>
      </c>
      <c r="H41" s="5">
        <v>20</v>
      </c>
      <c r="I41" s="5">
        <v>1886</v>
      </c>
      <c r="J41" s="6">
        <v>0.48930000000000001</v>
      </c>
    </row>
    <row r="42" spans="1:10" ht="18.600000000000001">
      <c r="A42" s="4">
        <v>65</v>
      </c>
      <c r="B42" s="4" t="s">
        <v>272</v>
      </c>
      <c r="C42" s="5">
        <v>0.36</v>
      </c>
      <c r="D42" s="5">
        <v>0.18</v>
      </c>
      <c r="E42" s="5">
        <v>0.31</v>
      </c>
      <c r="F42" s="5">
        <v>0</v>
      </c>
      <c r="G42" s="6">
        <v>0</v>
      </c>
      <c r="H42" s="5">
        <v>2</v>
      </c>
      <c r="I42" s="5">
        <v>817</v>
      </c>
      <c r="J42" s="6">
        <v>0.45950000000000002</v>
      </c>
    </row>
    <row r="43" spans="1:10" ht="18.600000000000001">
      <c r="A43" s="4">
        <v>70</v>
      </c>
      <c r="B43" s="4" t="s">
        <v>273</v>
      </c>
      <c r="C43" s="5">
        <v>0.35</v>
      </c>
      <c r="D43" s="5">
        <v>0.28000000000000003</v>
      </c>
      <c r="E43" s="5">
        <v>0.41</v>
      </c>
      <c r="F43" s="5">
        <v>-0.08</v>
      </c>
      <c r="G43" s="8">
        <v>-0.186</v>
      </c>
      <c r="H43" s="5">
        <v>21</v>
      </c>
      <c r="I43" s="5">
        <v>1027</v>
      </c>
      <c r="J43" s="6">
        <v>0.43070000000000003</v>
      </c>
    </row>
    <row r="44" spans="1:10" ht="18.600000000000001">
      <c r="A44" s="4">
        <v>75</v>
      </c>
      <c r="B44" s="4" t="s">
        <v>274</v>
      </c>
      <c r="C44" s="5">
        <v>0.45</v>
      </c>
      <c r="D44" s="5">
        <v>0.42</v>
      </c>
      <c r="E44" s="5">
        <v>0.52</v>
      </c>
      <c r="F44" s="5">
        <v>-0.19</v>
      </c>
      <c r="G44" s="8">
        <v>-0.2969</v>
      </c>
      <c r="H44" s="5">
        <v>64</v>
      </c>
      <c r="I44" s="5">
        <v>1960</v>
      </c>
      <c r="J44" s="6">
        <v>0.4002</v>
      </c>
    </row>
    <row r="45" spans="1:10" ht="18.600000000000001">
      <c r="A45" s="4">
        <v>80</v>
      </c>
      <c r="B45" s="4" t="s">
        <v>275</v>
      </c>
      <c r="C45" s="5">
        <v>0.67</v>
      </c>
      <c r="D45" s="5">
        <v>0.63</v>
      </c>
      <c r="E45" s="5">
        <v>0.75</v>
      </c>
      <c r="F45" s="5">
        <v>-0.23</v>
      </c>
      <c r="G45" s="8">
        <v>-0.25559999999999999</v>
      </c>
      <c r="H45" s="5">
        <v>100</v>
      </c>
      <c r="I45" s="5">
        <v>2620</v>
      </c>
      <c r="J45" s="6">
        <v>0.38159999999999999</v>
      </c>
    </row>
    <row r="46" spans="1:10" ht="18.600000000000001">
      <c r="A46" s="4">
        <v>85</v>
      </c>
      <c r="B46" s="4" t="s">
        <v>276</v>
      </c>
      <c r="C46" s="5">
        <v>0.96</v>
      </c>
      <c r="D46" s="5">
        <v>0.91</v>
      </c>
      <c r="E46" s="5">
        <v>1.03</v>
      </c>
      <c r="F46" s="5">
        <v>-0.34</v>
      </c>
      <c r="G46" s="8">
        <v>-0.26150000000000001</v>
      </c>
      <c r="H46" s="5">
        <v>76</v>
      </c>
      <c r="I46" s="5">
        <v>1976</v>
      </c>
      <c r="J46" s="6">
        <v>0.3604</v>
      </c>
    </row>
    <row r="47" spans="1:10" ht="18.600000000000001">
      <c r="A47" s="4">
        <v>90</v>
      </c>
      <c r="B47" s="4" t="s">
        <v>277</v>
      </c>
      <c r="C47" s="5">
        <v>1.38</v>
      </c>
      <c r="D47" s="5">
        <v>1.28</v>
      </c>
      <c r="E47" s="5">
        <v>1.42</v>
      </c>
      <c r="F47" s="5">
        <v>-0.42</v>
      </c>
      <c r="G47" s="8">
        <v>-0.23330000000000001</v>
      </c>
      <c r="H47" s="5">
        <v>146</v>
      </c>
      <c r="I47" s="5">
        <v>4314</v>
      </c>
      <c r="J47" s="6">
        <v>0.34110000000000001</v>
      </c>
    </row>
    <row r="48" spans="1:10" ht="18.600000000000001">
      <c r="A48" s="4">
        <v>95</v>
      </c>
      <c r="B48" s="4" t="s">
        <v>278</v>
      </c>
      <c r="C48" s="5">
        <v>1.98</v>
      </c>
      <c r="D48" s="5">
        <v>1.88</v>
      </c>
      <c r="E48" s="5">
        <v>2</v>
      </c>
      <c r="F48" s="5">
        <v>-0.49</v>
      </c>
      <c r="G48" s="8">
        <v>-0.19839999999999999</v>
      </c>
      <c r="H48" s="5">
        <v>296</v>
      </c>
      <c r="I48" s="5">
        <v>6664</v>
      </c>
      <c r="J48" s="6">
        <v>0.32569999999999999</v>
      </c>
    </row>
    <row r="49" spans="1:10" ht="18.600000000000001">
      <c r="A49" s="4">
        <v>100</v>
      </c>
      <c r="B49" s="4" t="s">
        <v>279</v>
      </c>
      <c r="C49" s="5">
        <v>2.79</v>
      </c>
      <c r="D49" s="5">
        <v>2.7</v>
      </c>
      <c r="E49" s="5">
        <v>2.8</v>
      </c>
      <c r="F49" s="5">
        <v>-0.63</v>
      </c>
      <c r="G49" s="8">
        <v>-0.1842</v>
      </c>
      <c r="H49" s="5">
        <v>287</v>
      </c>
      <c r="I49" s="5">
        <v>7688</v>
      </c>
      <c r="J49" s="6">
        <v>0.312</v>
      </c>
    </row>
    <row r="50" spans="1:10" ht="18.600000000000001">
      <c r="A50" s="4">
        <v>105</v>
      </c>
      <c r="B50" s="4" t="s">
        <v>280</v>
      </c>
      <c r="C50" s="5">
        <v>3.8</v>
      </c>
      <c r="D50" s="5">
        <v>3.8</v>
      </c>
      <c r="E50" s="5">
        <v>3.9</v>
      </c>
      <c r="F50" s="5">
        <v>-0.9</v>
      </c>
      <c r="G50" s="8">
        <v>-0.1915</v>
      </c>
      <c r="H50" s="5">
        <v>301</v>
      </c>
      <c r="I50" s="5">
        <v>8083</v>
      </c>
      <c r="J50" s="6">
        <v>0.3004</v>
      </c>
    </row>
    <row r="51" spans="1:10" ht="18.600000000000001">
      <c r="A51" s="4">
        <v>110</v>
      </c>
      <c r="B51" s="4" t="s">
        <v>281</v>
      </c>
      <c r="C51" s="5">
        <v>5.25</v>
      </c>
      <c r="D51" s="5">
        <v>5.2</v>
      </c>
      <c r="E51" s="5">
        <v>5.3</v>
      </c>
      <c r="F51" s="5">
        <v>-1.5</v>
      </c>
      <c r="G51" s="8">
        <v>-0.22220000000000001</v>
      </c>
      <c r="H51" s="5">
        <v>325</v>
      </c>
      <c r="I51" s="5">
        <v>16642</v>
      </c>
      <c r="J51" s="6">
        <v>0.28849999999999998</v>
      </c>
    </row>
    <row r="52" spans="1:10" ht="18.600000000000001">
      <c r="A52" s="4">
        <v>115</v>
      </c>
      <c r="B52" s="4" t="s">
        <v>282</v>
      </c>
      <c r="C52" s="5">
        <v>7.25</v>
      </c>
      <c r="D52" s="5">
        <v>7.05</v>
      </c>
      <c r="E52" s="5">
        <v>7.25</v>
      </c>
      <c r="F52" s="5">
        <v>-1.45</v>
      </c>
      <c r="G52" s="8">
        <v>-0.16669999999999999</v>
      </c>
      <c r="H52" s="5">
        <v>98</v>
      </c>
      <c r="I52" s="5">
        <v>13953</v>
      </c>
      <c r="J52" s="6">
        <v>0.28270000000000001</v>
      </c>
    </row>
    <row r="53" spans="1:10" ht="18.600000000000001">
      <c r="A53" s="4">
        <v>120</v>
      </c>
      <c r="B53" s="4" t="s">
        <v>283</v>
      </c>
      <c r="C53" s="5">
        <v>9.4499999999999993</v>
      </c>
      <c r="D53" s="5">
        <v>9.35</v>
      </c>
      <c r="E53" s="5">
        <v>9.6</v>
      </c>
      <c r="F53" s="5">
        <v>-2.25</v>
      </c>
      <c r="G53" s="8">
        <v>-0.1923</v>
      </c>
      <c r="H53" s="5">
        <v>137</v>
      </c>
      <c r="I53" s="5">
        <v>7241</v>
      </c>
      <c r="J53" s="6">
        <v>0.27629999999999999</v>
      </c>
    </row>
    <row r="54" spans="1:10" ht="18.600000000000001">
      <c r="A54" s="4">
        <v>125</v>
      </c>
      <c r="B54" s="4" t="s">
        <v>284</v>
      </c>
      <c r="C54" s="5">
        <v>12.3</v>
      </c>
      <c r="D54" s="5">
        <v>12.15</v>
      </c>
      <c r="E54" s="5">
        <v>12.4</v>
      </c>
      <c r="F54" s="5">
        <v>-2.52</v>
      </c>
      <c r="G54" s="8">
        <v>-0.17</v>
      </c>
      <c r="H54" s="5">
        <v>50</v>
      </c>
      <c r="I54" s="5">
        <v>4481</v>
      </c>
      <c r="J54" s="6">
        <v>0.27079999999999999</v>
      </c>
    </row>
    <row r="55" spans="1:10" ht="18.600000000000001">
      <c r="A55" s="4">
        <v>130</v>
      </c>
      <c r="B55" s="4" t="s">
        <v>285</v>
      </c>
      <c r="C55" s="5">
        <v>15.45</v>
      </c>
      <c r="D55" s="5">
        <v>15.4</v>
      </c>
      <c r="E55" s="5">
        <v>15.65</v>
      </c>
      <c r="F55" s="5">
        <v>-3.6</v>
      </c>
      <c r="G55" s="8">
        <v>-0.189</v>
      </c>
      <c r="H55" s="5">
        <v>83</v>
      </c>
      <c r="I55" s="5">
        <v>2544</v>
      </c>
      <c r="J55" s="6">
        <v>0.2666</v>
      </c>
    </row>
    <row r="56" spans="1:10" ht="18.600000000000001">
      <c r="A56" s="4">
        <v>135</v>
      </c>
      <c r="B56" s="4" t="s">
        <v>286</v>
      </c>
      <c r="C56" s="5">
        <v>19.489999999999998</v>
      </c>
      <c r="D56" s="5">
        <v>19.100000000000001</v>
      </c>
      <c r="E56" s="5">
        <v>19.399999999999999</v>
      </c>
      <c r="F56" s="5">
        <v>-4.01</v>
      </c>
      <c r="G56" s="8">
        <v>-0.1706</v>
      </c>
      <c r="H56" s="5">
        <v>1</v>
      </c>
      <c r="I56" s="5">
        <v>964</v>
      </c>
      <c r="J56" s="6">
        <v>0.26700000000000002</v>
      </c>
    </row>
    <row r="57" spans="1:10" ht="18.600000000000001">
      <c r="A57" s="4">
        <v>140</v>
      </c>
      <c r="B57" s="4" t="s">
        <v>287</v>
      </c>
      <c r="C57" s="5">
        <v>23.96</v>
      </c>
      <c r="D57" s="5">
        <v>23.15</v>
      </c>
      <c r="E57" s="5">
        <v>23.55</v>
      </c>
      <c r="F57" s="5">
        <v>-6.74</v>
      </c>
      <c r="G57" s="8">
        <v>-0.2195</v>
      </c>
      <c r="H57" s="5">
        <v>1</v>
      </c>
      <c r="I57" s="5">
        <v>446</v>
      </c>
      <c r="J57" s="6">
        <v>0.2717</v>
      </c>
    </row>
    <row r="58" spans="1:10" ht="18.600000000000001">
      <c r="A58" s="4">
        <v>145</v>
      </c>
      <c r="B58" s="4" t="s">
        <v>288</v>
      </c>
      <c r="C58" s="5">
        <v>28.45</v>
      </c>
      <c r="D58" s="5">
        <v>27.55</v>
      </c>
      <c r="E58" s="5">
        <v>27.95</v>
      </c>
      <c r="F58" s="5">
        <v>-6.05</v>
      </c>
      <c r="G58" s="8">
        <v>-0.1754</v>
      </c>
      <c r="H58" s="5">
        <v>4</v>
      </c>
      <c r="I58" s="5">
        <v>135</v>
      </c>
      <c r="J58" s="6">
        <v>0.27839999999999998</v>
      </c>
    </row>
    <row r="59" spans="1:10" ht="18.600000000000001">
      <c r="A59" s="4">
        <v>150</v>
      </c>
      <c r="B59" s="4" t="s">
        <v>289</v>
      </c>
      <c r="C59" s="5">
        <v>37.46</v>
      </c>
      <c r="D59" s="5">
        <v>32.15</v>
      </c>
      <c r="E59" s="5">
        <v>32.549999999999997</v>
      </c>
      <c r="F59" s="5">
        <v>0</v>
      </c>
      <c r="G59" s="6">
        <v>0</v>
      </c>
      <c r="H59" s="5">
        <v>5</v>
      </c>
      <c r="I59" s="5">
        <v>1233</v>
      </c>
      <c r="J59" s="6">
        <v>0.2878</v>
      </c>
    </row>
    <row r="60" spans="1:10" ht="18.600000000000001">
      <c r="A60" s="4">
        <v>155</v>
      </c>
      <c r="B60" s="4" t="s">
        <v>290</v>
      </c>
      <c r="C60" s="5">
        <v>44</v>
      </c>
      <c r="D60" s="5">
        <v>36.85</v>
      </c>
      <c r="E60" s="5">
        <v>37.35</v>
      </c>
      <c r="F60" s="5">
        <v>0</v>
      </c>
      <c r="G60" s="6">
        <v>0</v>
      </c>
      <c r="H60" s="5">
        <v>19</v>
      </c>
      <c r="I60" s="5">
        <v>315</v>
      </c>
      <c r="J60" s="6">
        <v>0.3034</v>
      </c>
    </row>
    <row r="61" spans="1:10" ht="18.600000000000001">
      <c r="A61" s="4">
        <v>160</v>
      </c>
      <c r="B61" s="4" t="s">
        <v>291</v>
      </c>
      <c r="C61" s="5">
        <v>36.520000000000003</v>
      </c>
      <c r="D61" s="5">
        <v>41.7</v>
      </c>
      <c r="E61" s="5">
        <v>42.2</v>
      </c>
      <c r="F61" s="5">
        <v>0</v>
      </c>
      <c r="G61" s="6">
        <v>0</v>
      </c>
      <c r="H61" s="5">
        <v>0</v>
      </c>
      <c r="I61" s="5">
        <v>19</v>
      </c>
      <c r="J61" s="6">
        <v>0.31890000000000002</v>
      </c>
    </row>
    <row r="62" spans="1:10" ht="18.600000000000001">
      <c r="A62" s="4">
        <v>165</v>
      </c>
      <c r="B62" s="4" t="s">
        <v>292</v>
      </c>
      <c r="C62" s="5">
        <v>47.99</v>
      </c>
      <c r="D62" s="5">
        <v>46.55</v>
      </c>
      <c r="E62" s="5">
        <v>47.1</v>
      </c>
      <c r="F62" s="5">
        <v>0</v>
      </c>
      <c r="G62" s="6">
        <v>0</v>
      </c>
      <c r="H62" s="5">
        <v>0</v>
      </c>
      <c r="I62" s="5">
        <v>84</v>
      </c>
      <c r="J62" s="6">
        <v>0.3352</v>
      </c>
    </row>
    <row r="63" spans="1:10" ht="18.600000000000001">
      <c r="A63" s="4">
        <v>170</v>
      </c>
      <c r="B63" s="4" t="s">
        <v>293</v>
      </c>
      <c r="C63" s="5">
        <v>58</v>
      </c>
      <c r="D63" s="5">
        <v>51.5</v>
      </c>
      <c r="E63" s="5">
        <v>52.1</v>
      </c>
      <c r="F63" s="5">
        <v>0</v>
      </c>
      <c r="G63" s="6">
        <v>0</v>
      </c>
      <c r="H63" s="5">
        <v>1</v>
      </c>
      <c r="I63" s="5">
        <v>47</v>
      </c>
      <c r="J63" s="6">
        <v>0.35709999999999997</v>
      </c>
    </row>
    <row r="64" spans="1:10" ht="18.600000000000001">
      <c r="A64" s="4">
        <v>175</v>
      </c>
      <c r="B64" s="4" t="s">
        <v>294</v>
      </c>
      <c r="C64" s="5">
        <v>71.010000000000005</v>
      </c>
      <c r="D64" s="5">
        <v>56.45</v>
      </c>
      <c r="E64" s="5">
        <v>57.05</v>
      </c>
      <c r="F64" s="5">
        <v>0</v>
      </c>
      <c r="G64" s="6">
        <v>0</v>
      </c>
      <c r="H64" s="5">
        <v>0</v>
      </c>
      <c r="I64" s="5">
        <v>169</v>
      </c>
      <c r="J64" s="6">
        <v>0.374</v>
      </c>
    </row>
    <row r="65" spans="1:10" ht="18.600000000000001">
      <c r="A65" s="4">
        <v>180</v>
      </c>
      <c r="B65" s="4" t="s">
        <v>295</v>
      </c>
      <c r="C65" s="5">
        <v>65.3</v>
      </c>
      <c r="D65" s="5">
        <v>61.45</v>
      </c>
      <c r="E65" s="5">
        <v>62.05</v>
      </c>
      <c r="F65" s="5">
        <v>0</v>
      </c>
      <c r="G65" s="6">
        <v>0</v>
      </c>
      <c r="H65" s="5">
        <v>10</v>
      </c>
      <c r="I65" s="5">
        <v>70</v>
      </c>
      <c r="J65" s="6">
        <v>0.39389999999999997</v>
      </c>
    </row>
    <row r="66" spans="1:10" ht="18.600000000000001">
      <c r="A66" s="4">
        <v>185</v>
      </c>
      <c r="B66" s="4" t="s">
        <v>296</v>
      </c>
      <c r="C66" s="5">
        <v>62.14</v>
      </c>
      <c r="D66" s="5">
        <v>66.349999999999994</v>
      </c>
      <c r="E66" s="5">
        <v>67</v>
      </c>
      <c r="F66" s="5">
        <v>0</v>
      </c>
      <c r="G66" s="6">
        <v>0</v>
      </c>
      <c r="H66" s="5">
        <v>0</v>
      </c>
      <c r="I66" s="5">
        <v>2</v>
      </c>
      <c r="J66" s="6">
        <v>0.40889999999999999</v>
      </c>
    </row>
    <row r="67" spans="1:10" ht="18.600000000000001">
      <c r="A67" s="4">
        <v>190</v>
      </c>
      <c r="B67" s="4" t="s">
        <v>297</v>
      </c>
      <c r="C67" s="5">
        <v>80.349999999999994</v>
      </c>
      <c r="D67" s="5">
        <v>71.349999999999994</v>
      </c>
      <c r="E67" s="5">
        <v>72</v>
      </c>
      <c r="F67" s="5">
        <v>0</v>
      </c>
      <c r="G67" s="6">
        <v>0</v>
      </c>
      <c r="H67" s="5">
        <v>10</v>
      </c>
      <c r="I67" s="5">
        <v>30</v>
      </c>
      <c r="J67" s="6">
        <v>0.42699999999999999</v>
      </c>
    </row>
    <row r="68" spans="1:10" ht="18.600000000000001">
      <c r="A68" s="4">
        <v>195</v>
      </c>
      <c r="B68" s="4" t="s">
        <v>298</v>
      </c>
      <c r="C68" s="5">
        <v>85.95</v>
      </c>
      <c r="D68" s="5">
        <v>76.400000000000006</v>
      </c>
      <c r="E68" s="5">
        <v>76.95</v>
      </c>
      <c r="F68" s="5">
        <v>0</v>
      </c>
      <c r="G68" s="6">
        <v>0</v>
      </c>
      <c r="H68" s="5">
        <v>0</v>
      </c>
      <c r="I68" s="5">
        <v>4</v>
      </c>
      <c r="J68" s="6">
        <v>0.44019999999999998</v>
      </c>
    </row>
  </sheetData>
  <mergeCells count="20">
    <mergeCell ref="A3:J3"/>
    <mergeCell ref="B4:B6"/>
    <mergeCell ref="C4:C6"/>
    <mergeCell ref="D4:D6"/>
    <mergeCell ref="E4:E6"/>
    <mergeCell ref="F4:F6"/>
    <mergeCell ref="G4:G6"/>
    <mergeCell ref="H4:H6"/>
    <mergeCell ref="I4:I6"/>
    <mergeCell ref="J4:J6"/>
    <mergeCell ref="A36:J36"/>
    <mergeCell ref="B37:B39"/>
    <mergeCell ref="C37:C39"/>
    <mergeCell ref="D37:D39"/>
    <mergeCell ref="E37:E39"/>
    <mergeCell ref="F37:F39"/>
    <mergeCell ref="G37:G39"/>
    <mergeCell ref="H37:H39"/>
    <mergeCell ref="I37:I39"/>
    <mergeCell ref="J37:J39"/>
  </mergeCells>
  <hyperlinks>
    <hyperlink ref="A7" r:id="rId1" display="http://finance.yahoo.com/q/op?s=AAPL&amp;strike=55.00" xr:uid="{00000000-0004-0000-0400-000000000000}"/>
    <hyperlink ref="B7" r:id="rId2" xr:uid="{00000000-0004-0000-0400-000001000000}"/>
    <hyperlink ref="A8" r:id="rId3" display="http://finance.yahoo.com/q/op?s=AAPL&amp;strike=60.00" xr:uid="{00000000-0004-0000-0400-000002000000}"/>
    <hyperlink ref="B8" r:id="rId4" xr:uid="{00000000-0004-0000-0400-000003000000}"/>
    <hyperlink ref="A9" r:id="rId5" display="http://finance.yahoo.com/q/op?s=AAPL&amp;strike=65.00" xr:uid="{00000000-0004-0000-0400-000004000000}"/>
    <hyperlink ref="B9" r:id="rId6" xr:uid="{00000000-0004-0000-0400-000005000000}"/>
    <hyperlink ref="A10" r:id="rId7" display="http://finance.yahoo.com/q/op?s=AAPL&amp;strike=70.00" xr:uid="{00000000-0004-0000-0400-000006000000}"/>
    <hyperlink ref="B10" r:id="rId8" xr:uid="{00000000-0004-0000-0400-000007000000}"/>
    <hyperlink ref="A11" r:id="rId9" display="http://finance.yahoo.com/q/op?s=AAPL&amp;strike=75.00" xr:uid="{00000000-0004-0000-0400-000008000000}"/>
    <hyperlink ref="B11" r:id="rId10" xr:uid="{00000000-0004-0000-0400-000009000000}"/>
    <hyperlink ref="A12" r:id="rId11" display="http://finance.yahoo.com/q/op?s=AAPL&amp;strike=80.00" xr:uid="{00000000-0004-0000-0400-00000A000000}"/>
    <hyperlink ref="B12" r:id="rId12" xr:uid="{00000000-0004-0000-0400-00000B000000}"/>
    <hyperlink ref="A13" r:id="rId13" display="http://finance.yahoo.com/q/op?s=AAPL&amp;strike=85.00" xr:uid="{00000000-0004-0000-0400-00000C000000}"/>
    <hyperlink ref="B13" r:id="rId14" xr:uid="{00000000-0004-0000-0400-00000D000000}"/>
    <hyperlink ref="A14" r:id="rId15" display="http://finance.yahoo.com/q/op?s=AAPL&amp;strike=90.00" xr:uid="{00000000-0004-0000-0400-00000E000000}"/>
    <hyperlink ref="B14" r:id="rId16" xr:uid="{00000000-0004-0000-0400-00000F000000}"/>
    <hyperlink ref="A15" r:id="rId17" display="http://finance.yahoo.com/q/op?s=AAPL&amp;strike=95.00" xr:uid="{00000000-0004-0000-0400-000010000000}"/>
    <hyperlink ref="B15" r:id="rId18" xr:uid="{00000000-0004-0000-0400-000011000000}"/>
    <hyperlink ref="A16" r:id="rId19" display="http://finance.yahoo.com/q/op?s=AAPL&amp;strike=100.00" xr:uid="{00000000-0004-0000-0400-000012000000}"/>
    <hyperlink ref="B16" r:id="rId20" xr:uid="{00000000-0004-0000-0400-000013000000}"/>
    <hyperlink ref="A17" r:id="rId21" display="http://finance.yahoo.com/q/op?s=AAPL&amp;strike=105.00" xr:uid="{00000000-0004-0000-0400-000014000000}"/>
    <hyperlink ref="B17" r:id="rId22" xr:uid="{00000000-0004-0000-0400-000015000000}"/>
    <hyperlink ref="A18" r:id="rId23" display="http://finance.yahoo.com/q/op?s=AAPL&amp;strike=110.00" xr:uid="{00000000-0004-0000-0400-000016000000}"/>
    <hyperlink ref="B18" r:id="rId24" xr:uid="{00000000-0004-0000-0400-000017000000}"/>
    <hyperlink ref="A19" r:id="rId25" display="http://finance.yahoo.com/q/op?s=AAPL&amp;strike=115.00" xr:uid="{00000000-0004-0000-0400-000018000000}"/>
    <hyperlink ref="B19" r:id="rId26" xr:uid="{00000000-0004-0000-0400-000019000000}"/>
    <hyperlink ref="A20" r:id="rId27" display="http://finance.yahoo.com/q/op?s=AAPL&amp;strike=120.00" xr:uid="{00000000-0004-0000-0400-00001A000000}"/>
    <hyperlink ref="B20" r:id="rId28" xr:uid="{00000000-0004-0000-0400-00001B000000}"/>
    <hyperlink ref="A21" r:id="rId29" display="http://finance.yahoo.com/q/op?s=AAPL&amp;strike=125.00" xr:uid="{00000000-0004-0000-0400-00001C000000}"/>
    <hyperlink ref="B21" r:id="rId30" xr:uid="{00000000-0004-0000-0400-00001D000000}"/>
    <hyperlink ref="A22" r:id="rId31" display="http://finance.yahoo.com/q/op?s=AAPL&amp;strike=130.00" xr:uid="{00000000-0004-0000-0400-00001E000000}"/>
    <hyperlink ref="B22" r:id="rId32" xr:uid="{00000000-0004-0000-0400-00001F000000}"/>
    <hyperlink ref="A23" r:id="rId33" display="http://finance.yahoo.com/q/op?s=AAPL&amp;strike=135.00" xr:uid="{00000000-0004-0000-0400-000020000000}"/>
    <hyperlink ref="B23" r:id="rId34" xr:uid="{00000000-0004-0000-0400-000021000000}"/>
    <hyperlink ref="A24" r:id="rId35" display="http://finance.yahoo.com/q/op?s=AAPL&amp;strike=140.00" xr:uid="{00000000-0004-0000-0400-000022000000}"/>
    <hyperlink ref="B24" r:id="rId36" xr:uid="{00000000-0004-0000-0400-000023000000}"/>
    <hyperlink ref="A25" r:id="rId37" display="http://finance.yahoo.com/q/op?s=AAPL&amp;strike=145.00" xr:uid="{00000000-0004-0000-0400-000024000000}"/>
    <hyperlink ref="B25" r:id="rId38" xr:uid="{00000000-0004-0000-0400-000025000000}"/>
    <hyperlink ref="A26" r:id="rId39" display="http://finance.yahoo.com/q/op?s=AAPL&amp;strike=150.00" xr:uid="{00000000-0004-0000-0400-000026000000}"/>
    <hyperlink ref="B26" r:id="rId40" xr:uid="{00000000-0004-0000-0400-000027000000}"/>
    <hyperlink ref="A27" r:id="rId41" display="http://finance.yahoo.com/q/op?s=AAPL&amp;strike=155.00" xr:uid="{00000000-0004-0000-0400-000028000000}"/>
    <hyperlink ref="B27" r:id="rId42" xr:uid="{00000000-0004-0000-0400-000029000000}"/>
    <hyperlink ref="A28" r:id="rId43" display="http://finance.yahoo.com/q/op?s=AAPL&amp;strike=160.00" xr:uid="{00000000-0004-0000-0400-00002A000000}"/>
    <hyperlink ref="B28" r:id="rId44" xr:uid="{00000000-0004-0000-0400-00002B000000}"/>
    <hyperlink ref="A29" r:id="rId45" display="http://finance.yahoo.com/q/op?s=AAPL&amp;strike=165.00" xr:uid="{00000000-0004-0000-0400-00002C000000}"/>
    <hyperlink ref="B29" r:id="rId46" xr:uid="{00000000-0004-0000-0400-00002D000000}"/>
    <hyperlink ref="A30" r:id="rId47" display="http://finance.yahoo.com/q/op?s=AAPL&amp;strike=170.00" xr:uid="{00000000-0004-0000-0400-00002E000000}"/>
    <hyperlink ref="B30" r:id="rId48" xr:uid="{00000000-0004-0000-0400-00002F000000}"/>
    <hyperlink ref="A31" r:id="rId49" display="http://finance.yahoo.com/q/op?s=AAPL&amp;strike=175.00" xr:uid="{00000000-0004-0000-0400-000030000000}"/>
    <hyperlink ref="B31" r:id="rId50" xr:uid="{00000000-0004-0000-0400-000031000000}"/>
    <hyperlink ref="A32" r:id="rId51" display="http://finance.yahoo.com/q/op?s=AAPL&amp;strike=180.00" xr:uid="{00000000-0004-0000-0400-000032000000}"/>
    <hyperlink ref="B32" r:id="rId52" xr:uid="{00000000-0004-0000-0400-000033000000}"/>
    <hyperlink ref="A33" r:id="rId53" display="http://finance.yahoo.com/q/op?s=AAPL&amp;strike=185.00" xr:uid="{00000000-0004-0000-0400-000034000000}"/>
    <hyperlink ref="B33" r:id="rId54" xr:uid="{00000000-0004-0000-0400-000035000000}"/>
    <hyperlink ref="A34" r:id="rId55" display="http://finance.yahoo.com/q/op?s=AAPL&amp;strike=190.00" xr:uid="{00000000-0004-0000-0400-000036000000}"/>
    <hyperlink ref="B34" r:id="rId56" xr:uid="{00000000-0004-0000-0400-000037000000}"/>
    <hyperlink ref="A35" r:id="rId57" display="http://finance.yahoo.com/q/op?s=AAPL&amp;strike=195.00" xr:uid="{00000000-0004-0000-0400-000038000000}"/>
    <hyperlink ref="B35" r:id="rId58" xr:uid="{00000000-0004-0000-0400-000039000000}"/>
    <hyperlink ref="A40" r:id="rId59" display="http://finance.yahoo.com/q/op?s=AAPL&amp;strike=55.00" xr:uid="{00000000-0004-0000-0400-00003A000000}"/>
    <hyperlink ref="B40" r:id="rId60" xr:uid="{00000000-0004-0000-0400-00003B000000}"/>
    <hyperlink ref="A41" r:id="rId61" display="http://finance.yahoo.com/q/op?s=AAPL&amp;strike=60.00" xr:uid="{00000000-0004-0000-0400-00003C000000}"/>
    <hyperlink ref="B41" r:id="rId62" xr:uid="{00000000-0004-0000-0400-00003D000000}"/>
    <hyperlink ref="A42" r:id="rId63" display="http://finance.yahoo.com/q/op?s=AAPL&amp;strike=65.00" xr:uid="{00000000-0004-0000-0400-00003E000000}"/>
    <hyperlink ref="B42" r:id="rId64" xr:uid="{00000000-0004-0000-0400-00003F000000}"/>
    <hyperlink ref="A43" r:id="rId65" display="http://finance.yahoo.com/q/op?s=AAPL&amp;strike=70.00" xr:uid="{00000000-0004-0000-0400-000040000000}"/>
    <hyperlink ref="B43" r:id="rId66" xr:uid="{00000000-0004-0000-0400-000041000000}"/>
    <hyperlink ref="A44" r:id="rId67" display="http://finance.yahoo.com/q/op?s=AAPL&amp;strike=75.00" xr:uid="{00000000-0004-0000-0400-000042000000}"/>
    <hyperlink ref="B44" r:id="rId68" xr:uid="{00000000-0004-0000-0400-000043000000}"/>
    <hyperlink ref="A45" r:id="rId69" display="http://finance.yahoo.com/q/op?s=AAPL&amp;strike=80.00" xr:uid="{00000000-0004-0000-0400-000044000000}"/>
    <hyperlink ref="B45" r:id="rId70" xr:uid="{00000000-0004-0000-0400-000045000000}"/>
    <hyperlink ref="A46" r:id="rId71" display="http://finance.yahoo.com/q/op?s=AAPL&amp;strike=85.00" xr:uid="{00000000-0004-0000-0400-000046000000}"/>
    <hyperlink ref="B46" r:id="rId72" xr:uid="{00000000-0004-0000-0400-000047000000}"/>
    <hyperlink ref="A47" r:id="rId73" display="http://finance.yahoo.com/q/op?s=AAPL&amp;strike=90.00" xr:uid="{00000000-0004-0000-0400-000048000000}"/>
    <hyperlink ref="B47" r:id="rId74" xr:uid="{00000000-0004-0000-0400-000049000000}"/>
    <hyperlink ref="A48" r:id="rId75" display="http://finance.yahoo.com/q/op?s=AAPL&amp;strike=95.00" xr:uid="{00000000-0004-0000-0400-00004A000000}"/>
    <hyperlink ref="B48" r:id="rId76" xr:uid="{00000000-0004-0000-0400-00004B000000}"/>
    <hyperlink ref="A49" r:id="rId77" display="http://finance.yahoo.com/q/op?s=AAPL&amp;strike=100.00" xr:uid="{00000000-0004-0000-0400-00004C000000}"/>
    <hyperlink ref="B49" r:id="rId78" xr:uid="{00000000-0004-0000-0400-00004D000000}"/>
    <hyperlink ref="A50" r:id="rId79" display="http://finance.yahoo.com/q/op?s=AAPL&amp;strike=105.00" xr:uid="{00000000-0004-0000-0400-00004E000000}"/>
    <hyperlink ref="B50" r:id="rId80" xr:uid="{00000000-0004-0000-0400-00004F000000}"/>
    <hyperlink ref="A51" r:id="rId81" display="http://finance.yahoo.com/q/op?s=AAPL&amp;strike=110.00" xr:uid="{00000000-0004-0000-0400-000050000000}"/>
    <hyperlink ref="B51" r:id="rId82" xr:uid="{00000000-0004-0000-0400-000051000000}"/>
    <hyperlink ref="A52" r:id="rId83" display="http://finance.yahoo.com/q/op?s=AAPL&amp;strike=115.00" xr:uid="{00000000-0004-0000-0400-000052000000}"/>
    <hyperlink ref="B52" r:id="rId84" xr:uid="{00000000-0004-0000-0400-000053000000}"/>
    <hyperlink ref="A53" r:id="rId85" display="http://finance.yahoo.com/q/op?s=AAPL&amp;strike=120.00" xr:uid="{00000000-0004-0000-0400-000054000000}"/>
    <hyperlink ref="B53" r:id="rId86" xr:uid="{00000000-0004-0000-0400-000055000000}"/>
    <hyperlink ref="A54" r:id="rId87" display="http://finance.yahoo.com/q/op?s=AAPL&amp;strike=125.00" xr:uid="{00000000-0004-0000-0400-000056000000}"/>
    <hyperlink ref="B54" r:id="rId88" xr:uid="{00000000-0004-0000-0400-000057000000}"/>
    <hyperlink ref="A55" r:id="rId89" display="http://finance.yahoo.com/q/op?s=AAPL&amp;strike=130.00" xr:uid="{00000000-0004-0000-0400-000058000000}"/>
    <hyperlink ref="B55" r:id="rId90" xr:uid="{00000000-0004-0000-0400-000059000000}"/>
    <hyperlink ref="A56" r:id="rId91" display="http://finance.yahoo.com/q/op?s=AAPL&amp;strike=135.00" xr:uid="{00000000-0004-0000-0400-00005A000000}"/>
    <hyperlink ref="B56" r:id="rId92" xr:uid="{00000000-0004-0000-0400-00005B000000}"/>
    <hyperlink ref="A57" r:id="rId93" display="http://finance.yahoo.com/q/op?s=AAPL&amp;strike=140.00" xr:uid="{00000000-0004-0000-0400-00005C000000}"/>
    <hyperlink ref="B57" r:id="rId94" xr:uid="{00000000-0004-0000-0400-00005D000000}"/>
    <hyperlink ref="A58" r:id="rId95" display="http://finance.yahoo.com/q/op?s=AAPL&amp;strike=145.00" xr:uid="{00000000-0004-0000-0400-00005E000000}"/>
    <hyperlink ref="B58" r:id="rId96" xr:uid="{00000000-0004-0000-0400-00005F000000}"/>
    <hyperlink ref="A59" r:id="rId97" display="http://finance.yahoo.com/q/op?s=AAPL&amp;strike=150.00" xr:uid="{00000000-0004-0000-0400-000060000000}"/>
    <hyperlink ref="B59" r:id="rId98" xr:uid="{00000000-0004-0000-0400-000061000000}"/>
    <hyperlink ref="A60" r:id="rId99" display="http://finance.yahoo.com/q/op?s=AAPL&amp;strike=155.00" xr:uid="{00000000-0004-0000-0400-000062000000}"/>
    <hyperlink ref="B60" r:id="rId100" xr:uid="{00000000-0004-0000-0400-000063000000}"/>
    <hyperlink ref="A61" r:id="rId101" display="http://finance.yahoo.com/q/op?s=AAPL&amp;strike=160.00" xr:uid="{00000000-0004-0000-0400-000064000000}"/>
    <hyperlink ref="B61" r:id="rId102" xr:uid="{00000000-0004-0000-0400-000065000000}"/>
    <hyperlink ref="A62" r:id="rId103" display="http://finance.yahoo.com/q/op?s=AAPL&amp;strike=165.00" xr:uid="{00000000-0004-0000-0400-000066000000}"/>
    <hyperlink ref="B62" r:id="rId104" xr:uid="{00000000-0004-0000-0400-000067000000}"/>
    <hyperlink ref="A63" r:id="rId105" display="http://finance.yahoo.com/q/op?s=AAPL&amp;strike=170.00" xr:uid="{00000000-0004-0000-0400-000068000000}"/>
    <hyperlink ref="B63" r:id="rId106" xr:uid="{00000000-0004-0000-0400-000069000000}"/>
    <hyperlink ref="A64" r:id="rId107" display="http://finance.yahoo.com/q/op?s=AAPL&amp;strike=175.00" xr:uid="{00000000-0004-0000-0400-00006A000000}"/>
    <hyperlink ref="B64" r:id="rId108" xr:uid="{00000000-0004-0000-0400-00006B000000}"/>
    <hyperlink ref="A65" r:id="rId109" display="http://finance.yahoo.com/q/op?s=AAPL&amp;strike=180.00" xr:uid="{00000000-0004-0000-0400-00006C000000}"/>
    <hyperlink ref="B65" r:id="rId110" xr:uid="{00000000-0004-0000-0400-00006D000000}"/>
    <hyperlink ref="A66" r:id="rId111" display="http://finance.yahoo.com/q/op?s=AAPL&amp;strike=185.00" xr:uid="{00000000-0004-0000-0400-00006E000000}"/>
    <hyperlink ref="B66" r:id="rId112" xr:uid="{00000000-0004-0000-0400-00006F000000}"/>
    <hyperlink ref="A67" r:id="rId113" display="http://finance.yahoo.com/q/op?s=AAPL&amp;strike=190.00" xr:uid="{00000000-0004-0000-0400-000070000000}"/>
    <hyperlink ref="B67" r:id="rId114" xr:uid="{00000000-0004-0000-0400-000071000000}"/>
    <hyperlink ref="A68" r:id="rId115" display="http://finance.yahoo.com/q/op?s=AAPL&amp;strike=195.00" xr:uid="{00000000-0004-0000-0400-000072000000}"/>
    <hyperlink ref="B68" r:id="rId116" xr:uid="{00000000-0004-0000-0400-000073000000}"/>
  </hyperlink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67"/>
  <sheetViews>
    <sheetView topLeftCell="A7" workbookViewId="0">
      <selection activeCell="J14" sqref="A14:J26"/>
    </sheetView>
  </sheetViews>
  <sheetFormatPr defaultColWidth="11" defaultRowHeight="15.6"/>
  <cols>
    <col min="2" max="2" width="23.59765625" customWidth="1"/>
    <col min="7" max="7" width="13.8984375" customWidth="1"/>
  </cols>
  <sheetData>
    <row r="1" spans="1:10">
      <c r="A1" s="9" t="s">
        <v>299</v>
      </c>
    </row>
    <row r="3" spans="1:10" ht="16.8">
      <c r="A3" s="15" t="s">
        <v>2</v>
      </c>
      <c r="B3" s="16"/>
      <c r="C3" s="16"/>
      <c r="D3" s="16"/>
      <c r="E3" s="16"/>
      <c r="F3" s="16"/>
      <c r="G3" s="16"/>
      <c r="H3" s="16"/>
      <c r="I3" s="16"/>
      <c r="J3" s="16"/>
    </row>
    <row r="4" spans="1:10" ht="19.2">
      <c r="A4" s="1" t="s">
        <v>4</v>
      </c>
      <c r="B4" s="17" t="s">
        <v>5</v>
      </c>
      <c r="C4" s="17" t="s">
        <v>6</v>
      </c>
      <c r="D4" s="17" t="s">
        <v>7</v>
      </c>
      <c r="E4" s="17" t="s">
        <v>8</v>
      </c>
      <c r="F4" s="17" t="s">
        <v>9</v>
      </c>
      <c r="G4" s="17" t="s">
        <v>10</v>
      </c>
      <c r="H4" s="17" t="s">
        <v>11</v>
      </c>
      <c r="I4" s="17" t="s">
        <v>12</v>
      </c>
      <c r="J4" s="17" t="s">
        <v>13</v>
      </c>
    </row>
    <row r="5" spans="1:10">
      <c r="A5" s="2" t="s">
        <v>14</v>
      </c>
      <c r="B5" s="17"/>
      <c r="C5" s="17"/>
      <c r="D5" s="17"/>
      <c r="E5" s="17"/>
      <c r="F5" s="17"/>
      <c r="G5" s="17"/>
      <c r="H5" s="17"/>
      <c r="I5" s="17"/>
      <c r="J5" s="17"/>
    </row>
    <row r="6" spans="1:10">
      <c r="A6" s="3" t="s">
        <v>15</v>
      </c>
      <c r="B6" s="17"/>
      <c r="C6" s="17"/>
      <c r="D6" s="17"/>
      <c r="E6" s="17"/>
      <c r="F6" s="17"/>
      <c r="G6" s="17"/>
      <c r="H6" s="17"/>
      <c r="I6" s="17"/>
      <c r="J6" s="17"/>
    </row>
    <row r="7" spans="1:10" ht="18.600000000000001">
      <c r="A7" s="4">
        <v>55</v>
      </c>
      <c r="B7" s="4" t="s">
        <v>16</v>
      </c>
      <c r="C7" s="5">
        <v>59.4</v>
      </c>
      <c r="D7" s="5">
        <v>63.6</v>
      </c>
      <c r="E7" s="5">
        <v>64.45</v>
      </c>
      <c r="F7" s="5">
        <v>0</v>
      </c>
      <c r="G7" s="6">
        <v>0</v>
      </c>
      <c r="H7" s="5">
        <v>40</v>
      </c>
      <c r="I7" s="5">
        <v>52</v>
      </c>
      <c r="J7" s="6">
        <v>0.50439999999999996</v>
      </c>
    </row>
    <row r="8" spans="1:10" ht="18.600000000000001">
      <c r="A8" s="4">
        <v>60</v>
      </c>
      <c r="B8" s="4" t="s">
        <v>17</v>
      </c>
      <c r="C8" s="5">
        <v>53.7</v>
      </c>
      <c r="D8" s="5">
        <v>58.6</v>
      </c>
      <c r="E8" s="5">
        <v>59.45</v>
      </c>
      <c r="F8" s="5">
        <v>0</v>
      </c>
      <c r="G8" s="6">
        <v>0</v>
      </c>
      <c r="H8" s="5">
        <v>7</v>
      </c>
      <c r="I8" s="5">
        <v>94</v>
      </c>
      <c r="J8" s="6">
        <v>0.4531</v>
      </c>
    </row>
    <row r="9" spans="1:10" ht="18.600000000000001">
      <c r="A9" s="4">
        <v>65</v>
      </c>
      <c r="B9" s="4" t="s">
        <v>18</v>
      </c>
      <c r="C9" s="5">
        <v>50.45</v>
      </c>
      <c r="D9" s="5">
        <v>53.8</v>
      </c>
      <c r="E9" s="5">
        <v>54.5</v>
      </c>
      <c r="F9" s="5">
        <v>0</v>
      </c>
      <c r="G9" s="6">
        <v>0</v>
      </c>
      <c r="H9" s="5">
        <v>0</v>
      </c>
      <c r="I9" s="5">
        <v>6</v>
      </c>
      <c r="J9" s="6">
        <v>0.4153</v>
      </c>
    </row>
    <row r="10" spans="1:10" ht="18.600000000000001">
      <c r="A10" s="4">
        <v>70</v>
      </c>
      <c r="B10" s="4" t="s">
        <v>19</v>
      </c>
      <c r="C10" s="5">
        <v>41.7</v>
      </c>
      <c r="D10" s="5">
        <v>48.45</v>
      </c>
      <c r="E10" s="5">
        <v>49.75</v>
      </c>
      <c r="F10" s="5">
        <v>0</v>
      </c>
      <c r="G10" s="6">
        <v>0</v>
      </c>
      <c r="H10" s="5">
        <v>30</v>
      </c>
      <c r="I10" s="5">
        <v>152</v>
      </c>
      <c r="J10" s="6">
        <v>0.40649999999999997</v>
      </c>
    </row>
    <row r="11" spans="1:10" ht="18.600000000000001">
      <c r="A11" s="4">
        <v>75</v>
      </c>
      <c r="B11" s="4" t="s">
        <v>20</v>
      </c>
      <c r="C11" s="5">
        <v>43.5</v>
      </c>
      <c r="D11" s="5">
        <v>44</v>
      </c>
      <c r="E11" s="5">
        <v>44.45</v>
      </c>
      <c r="F11" s="5">
        <v>5.85</v>
      </c>
      <c r="G11" s="7">
        <v>0.15540000000000001</v>
      </c>
      <c r="H11" s="5">
        <v>2</v>
      </c>
      <c r="I11" s="5">
        <v>153</v>
      </c>
      <c r="J11" s="6">
        <v>0.32079999999999997</v>
      </c>
    </row>
    <row r="12" spans="1:10" ht="18.600000000000001">
      <c r="A12" s="4">
        <v>80</v>
      </c>
      <c r="B12" s="4" t="s">
        <v>21</v>
      </c>
      <c r="C12" s="5">
        <v>39.200000000000003</v>
      </c>
      <c r="D12" s="5">
        <v>39.15</v>
      </c>
      <c r="E12" s="5">
        <v>39.700000000000003</v>
      </c>
      <c r="F12" s="5">
        <v>3.2</v>
      </c>
      <c r="G12" s="7">
        <v>8.8900000000000007E-2</v>
      </c>
      <c r="H12" s="5">
        <v>35</v>
      </c>
      <c r="I12" s="5">
        <v>2725</v>
      </c>
      <c r="J12" s="6">
        <v>0.31319999999999998</v>
      </c>
    </row>
    <row r="13" spans="1:10" ht="18.600000000000001">
      <c r="A13" s="4">
        <v>85</v>
      </c>
      <c r="B13" s="4" t="s">
        <v>22</v>
      </c>
      <c r="C13" s="5">
        <v>31.16</v>
      </c>
      <c r="D13" s="5">
        <v>34.6</v>
      </c>
      <c r="E13" s="5">
        <v>35.15</v>
      </c>
      <c r="F13" s="5">
        <v>0</v>
      </c>
      <c r="G13" s="6">
        <v>0</v>
      </c>
      <c r="H13" s="5">
        <v>1</v>
      </c>
      <c r="I13" s="5">
        <v>113</v>
      </c>
      <c r="J13" s="6">
        <v>0.31190000000000001</v>
      </c>
    </row>
    <row r="14" spans="1:10" ht="18.600000000000001">
      <c r="A14" s="4">
        <v>90</v>
      </c>
      <c r="B14" s="4" t="s">
        <v>23</v>
      </c>
      <c r="C14" s="5">
        <v>30.4</v>
      </c>
      <c r="D14" s="5">
        <v>30.15</v>
      </c>
      <c r="E14" s="5">
        <v>30.65</v>
      </c>
      <c r="F14" s="5">
        <v>4.0599999999999996</v>
      </c>
      <c r="G14" s="7">
        <v>0.15409999999999999</v>
      </c>
      <c r="H14" s="5">
        <v>30</v>
      </c>
      <c r="I14" s="5">
        <v>706</v>
      </c>
      <c r="J14" s="6">
        <v>0.30130000000000001</v>
      </c>
    </row>
    <row r="15" spans="1:10" ht="18.600000000000001">
      <c r="A15" s="4">
        <v>95</v>
      </c>
      <c r="B15" s="4" t="s">
        <v>24</v>
      </c>
      <c r="C15" s="5">
        <v>26.2</v>
      </c>
      <c r="D15" s="5">
        <v>25.9</v>
      </c>
      <c r="E15" s="5">
        <v>26.4</v>
      </c>
      <c r="F15" s="5">
        <v>4.05</v>
      </c>
      <c r="G15" s="7">
        <v>0.18279999999999999</v>
      </c>
      <c r="H15" s="5">
        <v>25</v>
      </c>
      <c r="I15" s="5">
        <v>656</v>
      </c>
      <c r="J15" s="6">
        <v>0.29430000000000001</v>
      </c>
    </row>
    <row r="16" spans="1:10" ht="18.600000000000001">
      <c r="A16" s="4">
        <v>100</v>
      </c>
      <c r="B16" s="4" t="s">
        <v>25</v>
      </c>
      <c r="C16" s="5">
        <v>22</v>
      </c>
      <c r="D16" s="5">
        <v>21.95</v>
      </c>
      <c r="E16" s="5">
        <v>22.4</v>
      </c>
      <c r="F16" s="5">
        <v>2.7</v>
      </c>
      <c r="G16" s="7">
        <v>0.1399</v>
      </c>
      <c r="H16" s="5">
        <v>416</v>
      </c>
      <c r="I16" s="5">
        <v>5761</v>
      </c>
      <c r="J16" s="6">
        <v>0.28749999999999998</v>
      </c>
    </row>
    <row r="17" spans="1:10" ht="18.600000000000001">
      <c r="A17" s="4">
        <v>105</v>
      </c>
      <c r="B17" s="4" t="s">
        <v>26</v>
      </c>
      <c r="C17" s="5">
        <v>18.260000000000002</v>
      </c>
      <c r="D17" s="5">
        <v>18.25</v>
      </c>
      <c r="E17" s="5">
        <v>18.649999999999999</v>
      </c>
      <c r="F17" s="5">
        <v>2.86</v>
      </c>
      <c r="G17" s="7">
        <v>0.1857</v>
      </c>
      <c r="H17" s="5">
        <v>36</v>
      </c>
      <c r="I17" s="5">
        <v>2762</v>
      </c>
      <c r="J17" s="6">
        <v>0.2797</v>
      </c>
    </row>
    <row r="18" spans="1:10" ht="18.600000000000001">
      <c r="A18" s="4">
        <v>110</v>
      </c>
      <c r="B18" s="4" t="s">
        <v>27</v>
      </c>
      <c r="C18" s="5">
        <v>15</v>
      </c>
      <c r="D18" s="5">
        <v>14.95</v>
      </c>
      <c r="E18" s="5">
        <v>15.3</v>
      </c>
      <c r="F18" s="5">
        <v>2.33</v>
      </c>
      <c r="G18" s="7">
        <v>0.18390000000000001</v>
      </c>
      <c r="H18" s="5">
        <v>283</v>
      </c>
      <c r="I18" s="5">
        <v>20042</v>
      </c>
      <c r="J18" s="6">
        <v>0.2742</v>
      </c>
    </row>
    <row r="19" spans="1:10" ht="18.600000000000001">
      <c r="A19" s="4">
        <v>115</v>
      </c>
      <c r="B19" s="4" t="s">
        <v>28</v>
      </c>
      <c r="C19" s="5">
        <v>11.92</v>
      </c>
      <c r="D19" s="5">
        <v>11.95</v>
      </c>
      <c r="E19" s="5">
        <v>12.15</v>
      </c>
      <c r="F19" s="5">
        <v>1.85</v>
      </c>
      <c r="G19" s="7">
        <v>0.1837</v>
      </c>
      <c r="H19" s="5">
        <v>431</v>
      </c>
      <c r="I19" s="5">
        <v>7453</v>
      </c>
      <c r="J19" s="6">
        <v>0.26450000000000001</v>
      </c>
    </row>
    <row r="20" spans="1:10" ht="18.600000000000001">
      <c r="A20" s="4">
        <v>120</v>
      </c>
      <c r="B20" s="4" t="s">
        <v>29</v>
      </c>
      <c r="C20" s="5">
        <v>9.36</v>
      </c>
      <c r="D20" s="5">
        <v>9.3000000000000007</v>
      </c>
      <c r="E20" s="5">
        <v>9.5500000000000007</v>
      </c>
      <c r="F20" s="5">
        <v>1.76</v>
      </c>
      <c r="G20" s="7">
        <v>0.2316</v>
      </c>
      <c r="H20" s="5">
        <v>216</v>
      </c>
      <c r="I20" s="5">
        <v>9433</v>
      </c>
      <c r="J20" s="6">
        <v>0.2596</v>
      </c>
    </row>
    <row r="21" spans="1:10" ht="18.600000000000001">
      <c r="A21" s="4">
        <v>125</v>
      </c>
      <c r="B21" s="4" t="s">
        <v>30</v>
      </c>
      <c r="C21" s="5">
        <v>7.15</v>
      </c>
      <c r="D21" s="5">
        <v>7.05</v>
      </c>
      <c r="E21" s="5">
        <v>7.3</v>
      </c>
      <c r="F21" s="5">
        <v>1.45</v>
      </c>
      <c r="G21" s="7">
        <v>0.25440000000000002</v>
      </c>
      <c r="H21" s="5">
        <v>274</v>
      </c>
      <c r="I21" s="5">
        <v>8404</v>
      </c>
      <c r="J21" s="6">
        <v>0.25380000000000003</v>
      </c>
    </row>
    <row r="22" spans="1:10" ht="18.600000000000001">
      <c r="A22" s="4">
        <v>130</v>
      </c>
      <c r="B22" s="4" t="s">
        <v>31</v>
      </c>
      <c r="C22" s="5">
        <v>5.33</v>
      </c>
      <c r="D22" s="5">
        <v>5.2</v>
      </c>
      <c r="E22" s="5">
        <v>5.45</v>
      </c>
      <c r="F22" s="5">
        <v>1.22</v>
      </c>
      <c r="G22" s="7">
        <v>0.29680000000000001</v>
      </c>
      <c r="H22" s="5">
        <v>227</v>
      </c>
      <c r="I22" s="5">
        <v>8809</v>
      </c>
      <c r="J22" s="6">
        <v>0.24859999999999999</v>
      </c>
    </row>
    <row r="23" spans="1:10" ht="18.600000000000001">
      <c r="A23" s="4">
        <v>135</v>
      </c>
      <c r="B23" s="4" t="s">
        <v>32</v>
      </c>
      <c r="C23" s="5">
        <v>3.85</v>
      </c>
      <c r="D23" s="5">
        <v>3.75</v>
      </c>
      <c r="E23" s="5">
        <v>3.9</v>
      </c>
      <c r="F23" s="5">
        <v>0.95</v>
      </c>
      <c r="G23" s="7">
        <v>0.3276</v>
      </c>
      <c r="H23" s="5">
        <v>494</v>
      </c>
      <c r="I23" s="5">
        <v>7681</v>
      </c>
      <c r="J23" s="6">
        <v>0.2417</v>
      </c>
    </row>
    <row r="24" spans="1:10" ht="18.600000000000001">
      <c r="A24" s="4">
        <v>140</v>
      </c>
      <c r="B24" s="4" t="s">
        <v>33</v>
      </c>
      <c r="C24" s="5">
        <v>2.77</v>
      </c>
      <c r="D24" s="5">
        <v>2.67</v>
      </c>
      <c r="E24" s="5">
        <v>2.82</v>
      </c>
      <c r="F24" s="5">
        <v>0.81</v>
      </c>
      <c r="G24" s="7">
        <v>0.4133</v>
      </c>
      <c r="H24" s="5">
        <v>683</v>
      </c>
      <c r="I24" s="5">
        <v>47962</v>
      </c>
      <c r="J24" s="6">
        <v>0.23949999999999999</v>
      </c>
    </row>
    <row r="25" spans="1:10" ht="18.600000000000001">
      <c r="A25" s="4">
        <v>145</v>
      </c>
      <c r="B25" s="4" t="s">
        <v>34</v>
      </c>
      <c r="C25" s="5">
        <v>1.83</v>
      </c>
      <c r="D25" s="5">
        <v>1.82</v>
      </c>
      <c r="E25" s="5">
        <v>1.99</v>
      </c>
      <c r="F25" s="5">
        <v>0.46</v>
      </c>
      <c r="G25" s="7">
        <v>0.33579999999999999</v>
      </c>
      <c r="H25" s="5">
        <v>60</v>
      </c>
      <c r="I25" s="5">
        <v>4920</v>
      </c>
      <c r="J25" s="6">
        <v>0.23699999999999999</v>
      </c>
    </row>
    <row r="26" spans="1:10" ht="18.600000000000001">
      <c r="A26" s="4">
        <v>150</v>
      </c>
      <c r="B26" s="4" t="s">
        <v>35</v>
      </c>
      <c r="C26" s="5">
        <v>1.3</v>
      </c>
      <c r="D26" s="5">
        <v>1.24</v>
      </c>
      <c r="E26" s="5">
        <v>1.33</v>
      </c>
      <c r="F26" s="5">
        <v>0.31</v>
      </c>
      <c r="G26" s="7">
        <v>0.31309999999999999</v>
      </c>
      <c r="H26" s="5">
        <v>233</v>
      </c>
      <c r="I26" s="5">
        <v>14062</v>
      </c>
      <c r="J26" s="6">
        <v>0.2324</v>
      </c>
    </row>
    <row r="27" spans="1:10" ht="18.600000000000001">
      <c r="A27" s="4">
        <v>155</v>
      </c>
      <c r="B27" s="4" t="s">
        <v>36</v>
      </c>
      <c r="C27" s="5">
        <v>0.9</v>
      </c>
      <c r="D27" s="5">
        <v>0.84</v>
      </c>
      <c r="E27" s="5">
        <v>1</v>
      </c>
      <c r="F27" s="5">
        <v>0.23</v>
      </c>
      <c r="G27" s="7">
        <v>0.34329999999999999</v>
      </c>
      <c r="H27" s="5">
        <v>19</v>
      </c>
      <c r="I27" s="5">
        <v>5416</v>
      </c>
      <c r="J27" s="6">
        <v>0.2366</v>
      </c>
    </row>
    <row r="28" spans="1:10" ht="18.600000000000001">
      <c r="A28" s="4">
        <v>160</v>
      </c>
      <c r="B28" s="4" t="s">
        <v>37</v>
      </c>
      <c r="C28" s="5">
        <v>0.63</v>
      </c>
      <c r="D28" s="5">
        <v>0.56000000000000005</v>
      </c>
      <c r="E28" s="5">
        <v>0.71</v>
      </c>
      <c r="F28" s="5">
        <v>0.18</v>
      </c>
      <c r="G28" s="7">
        <v>0.4</v>
      </c>
      <c r="H28" s="5">
        <v>30</v>
      </c>
      <c r="I28" s="5">
        <v>2125</v>
      </c>
      <c r="J28" s="6">
        <v>0.23730000000000001</v>
      </c>
    </row>
    <row r="29" spans="1:10" ht="18.600000000000001">
      <c r="A29" s="4">
        <v>165</v>
      </c>
      <c r="B29" s="4" t="s">
        <v>38</v>
      </c>
      <c r="C29" s="5">
        <v>0.46</v>
      </c>
      <c r="D29" s="5">
        <v>0.37</v>
      </c>
      <c r="E29" s="5">
        <v>0.5</v>
      </c>
      <c r="F29" s="5">
        <v>0.1</v>
      </c>
      <c r="G29" s="7">
        <v>0.27779999999999999</v>
      </c>
      <c r="H29" s="5">
        <v>1</v>
      </c>
      <c r="I29" s="5">
        <v>938</v>
      </c>
      <c r="J29" s="6">
        <v>0.23799999999999999</v>
      </c>
    </row>
    <row r="30" spans="1:10" ht="18.600000000000001">
      <c r="A30" s="4">
        <v>170</v>
      </c>
      <c r="B30" s="4" t="s">
        <v>39</v>
      </c>
      <c r="C30" s="5">
        <v>0.24</v>
      </c>
      <c r="D30" s="5">
        <v>0.26</v>
      </c>
      <c r="E30" s="5">
        <v>0.4</v>
      </c>
      <c r="F30" s="5">
        <v>-0.01</v>
      </c>
      <c r="G30" s="8">
        <v>-0.04</v>
      </c>
      <c r="H30" s="5">
        <v>5</v>
      </c>
      <c r="I30" s="5">
        <v>1206</v>
      </c>
      <c r="J30" s="6">
        <v>0.24440000000000001</v>
      </c>
    </row>
    <row r="31" spans="1:10" ht="18.600000000000001">
      <c r="A31" s="4">
        <v>175</v>
      </c>
      <c r="B31" s="4" t="s">
        <v>40</v>
      </c>
      <c r="C31" s="5">
        <v>0.2</v>
      </c>
      <c r="D31" s="5">
        <v>0.18</v>
      </c>
      <c r="E31" s="5">
        <v>0.28000000000000003</v>
      </c>
      <c r="F31" s="5">
        <v>0</v>
      </c>
      <c r="G31" s="6">
        <v>0</v>
      </c>
      <c r="H31" s="5">
        <v>30</v>
      </c>
      <c r="I31" s="5">
        <v>1030</v>
      </c>
      <c r="J31" s="6">
        <v>0.24460000000000001</v>
      </c>
    </row>
    <row r="32" spans="1:10" ht="18.600000000000001">
      <c r="A32" s="4">
        <v>180</v>
      </c>
      <c r="B32" s="4" t="s">
        <v>41</v>
      </c>
      <c r="C32" s="5">
        <v>0.15</v>
      </c>
      <c r="D32" s="5">
        <v>0.13</v>
      </c>
      <c r="E32" s="5">
        <v>0.22</v>
      </c>
      <c r="F32" s="5">
        <v>0</v>
      </c>
      <c r="G32" s="6">
        <v>0</v>
      </c>
      <c r="H32" s="5">
        <v>50</v>
      </c>
      <c r="I32" s="5">
        <v>2009</v>
      </c>
      <c r="J32" s="6">
        <v>0.2495</v>
      </c>
    </row>
    <row r="33" spans="1:10" ht="18.600000000000001">
      <c r="A33" s="4">
        <v>185</v>
      </c>
      <c r="B33" s="4" t="s">
        <v>42</v>
      </c>
      <c r="C33" s="5">
        <v>0.15</v>
      </c>
      <c r="D33" s="5">
        <v>0.1</v>
      </c>
      <c r="E33" s="5">
        <v>0.17</v>
      </c>
      <c r="F33" s="5">
        <v>0.03</v>
      </c>
      <c r="G33" s="7">
        <v>0.25</v>
      </c>
      <c r="H33" s="5">
        <v>31</v>
      </c>
      <c r="I33" s="5">
        <v>8127</v>
      </c>
      <c r="J33" s="6">
        <v>0.25290000000000001</v>
      </c>
    </row>
    <row r="34" spans="1:10" ht="18.600000000000001">
      <c r="A34" s="4">
        <v>190</v>
      </c>
      <c r="B34" s="4" t="s">
        <v>43</v>
      </c>
      <c r="C34" s="5">
        <v>0.11</v>
      </c>
      <c r="D34" s="5">
        <v>7.0000000000000007E-2</v>
      </c>
      <c r="E34" s="5">
        <v>0.14000000000000001</v>
      </c>
      <c r="F34" s="5">
        <v>0</v>
      </c>
      <c r="G34" s="6">
        <v>0</v>
      </c>
      <c r="H34" s="5">
        <v>53</v>
      </c>
      <c r="I34" s="5">
        <v>1245</v>
      </c>
      <c r="J34" s="6">
        <v>0.25879999999999997</v>
      </c>
    </row>
    <row r="35" spans="1:10" ht="18.600000000000001">
      <c r="A35" s="4">
        <v>195</v>
      </c>
      <c r="B35" s="4" t="s">
        <v>44</v>
      </c>
      <c r="C35" s="5">
        <v>0.08</v>
      </c>
      <c r="D35" s="5">
        <v>7.0000000000000007E-2</v>
      </c>
      <c r="E35" s="5">
        <v>0.12</v>
      </c>
      <c r="F35" s="5">
        <v>-0.01</v>
      </c>
      <c r="G35" s="8">
        <v>-0.1111</v>
      </c>
      <c r="H35" s="5">
        <v>5</v>
      </c>
      <c r="I35" s="5">
        <v>9063</v>
      </c>
      <c r="J35" s="6">
        <v>0.2651</v>
      </c>
    </row>
    <row r="36" spans="1:10" ht="16.8">
      <c r="A36" s="15" t="s">
        <v>45</v>
      </c>
      <c r="B36" s="16"/>
      <c r="C36" s="16"/>
      <c r="D36" s="16"/>
      <c r="E36" s="16"/>
      <c r="F36" s="16"/>
      <c r="G36" s="16"/>
      <c r="H36" s="16"/>
      <c r="I36" s="16"/>
      <c r="J36" s="16"/>
    </row>
    <row r="37" spans="1:10" ht="19.2">
      <c r="A37" s="1" t="s">
        <v>4</v>
      </c>
      <c r="B37" s="17" t="s">
        <v>5</v>
      </c>
      <c r="C37" s="17" t="s">
        <v>6</v>
      </c>
      <c r="D37" s="17" t="s">
        <v>7</v>
      </c>
      <c r="E37" s="17" t="s">
        <v>8</v>
      </c>
      <c r="F37" s="17" t="s">
        <v>9</v>
      </c>
      <c r="G37" s="17" t="s">
        <v>10</v>
      </c>
      <c r="H37" s="17" t="s">
        <v>11</v>
      </c>
      <c r="I37" s="17" t="s">
        <v>12</v>
      </c>
      <c r="J37" s="17" t="s">
        <v>13</v>
      </c>
    </row>
    <row r="38" spans="1:10">
      <c r="A38" s="2" t="s">
        <v>14</v>
      </c>
      <c r="B38" s="17"/>
      <c r="C38" s="17"/>
      <c r="D38" s="17"/>
      <c r="E38" s="17"/>
      <c r="F38" s="17"/>
      <c r="G38" s="17"/>
      <c r="H38" s="17"/>
      <c r="I38" s="17"/>
      <c r="J38" s="17"/>
    </row>
    <row r="39" spans="1:10">
      <c r="A39" s="3" t="s">
        <v>15</v>
      </c>
      <c r="B39" s="17"/>
      <c r="C39" s="17"/>
      <c r="D39" s="17"/>
      <c r="E39" s="17"/>
      <c r="F39" s="17"/>
      <c r="G39" s="17"/>
      <c r="H39" s="17"/>
      <c r="I39" s="17"/>
      <c r="J39" s="17"/>
    </row>
    <row r="40" spans="1:10" ht="18.600000000000001">
      <c r="A40" s="4">
        <v>55</v>
      </c>
      <c r="B40" s="4" t="s">
        <v>46</v>
      </c>
      <c r="C40" s="5">
        <v>0.2</v>
      </c>
      <c r="D40" s="5">
        <v>0.17</v>
      </c>
      <c r="E40" s="5">
        <v>0.27</v>
      </c>
      <c r="F40" s="5">
        <v>-0.08</v>
      </c>
      <c r="G40" s="8">
        <v>-0.28570000000000001</v>
      </c>
      <c r="H40" s="5">
        <v>5</v>
      </c>
      <c r="I40" s="5">
        <v>1438</v>
      </c>
      <c r="J40" s="6">
        <v>0.47949999999999998</v>
      </c>
    </row>
    <row r="41" spans="1:10" ht="18.600000000000001">
      <c r="A41" s="4">
        <v>60</v>
      </c>
      <c r="B41" s="4" t="s">
        <v>47</v>
      </c>
      <c r="C41" s="5">
        <v>0.53</v>
      </c>
      <c r="D41" s="5">
        <v>0.3</v>
      </c>
      <c r="E41" s="5">
        <v>0.4</v>
      </c>
      <c r="F41" s="5">
        <v>0</v>
      </c>
      <c r="G41" s="6">
        <v>0</v>
      </c>
      <c r="H41" s="5">
        <v>60</v>
      </c>
      <c r="I41" s="5">
        <v>2857</v>
      </c>
      <c r="J41" s="6">
        <v>0.4602</v>
      </c>
    </row>
    <row r="42" spans="1:10" ht="18.600000000000001">
      <c r="A42" s="4">
        <v>65</v>
      </c>
      <c r="B42" s="4" t="s">
        <v>48</v>
      </c>
      <c r="C42" s="5">
        <v>0.44</v>
      </c>
      <c r="D42" s="5">
        <v>0.37</v>
      </c>
      <c r="E42" s="5">
        <v>0.52</v>
      </c>
      <c r="F42" s="5">
        <v>-0.13</v>
      </c>
      <c r="G42" s="8">
        <v>-0.2281</v>
      </c>
      <c r="H42" s="5">
        <v>20</v>
      </c>
      <c r="I42" s="5">
        <v>834</v>
      </c>
      <c r="J42" s="6">
        <v>0.43309999999999998</v>
      </c>
    </row>
    <row r="43" spans="1:10" ht="18.600000000000001">
      <c r="A43" s="4">
        <v>70</v>
      </c>
      <c r="B43" s="4" t="s">
        <v>49</v>
      </c>
      <c r="C43" s="5">
        <v>0.79</v>
      </c>
      <c r="D43" s="5">
        <v>0.54</v>
      </c>
      <c r="E43" s="5">
        <v>0.69</v>
      </c>
      <c r="F43" s="5">
        <v>0</v>
      </c>
      <c r="G43" s="6">
        <v>0</v>
      </c>
      <c r="H43" s="5">
        <v>30</v>
      </c>
      <c r="I43" s="5">
        <v>939</v>
      </c>
      <c r="J43" s="6">
        <v>0.40939999999999999</v>
      </c>
    </row>
    <row r="44" spans="1:10" ht="18.600000000000001">
      <c r="A44" s="4">
        <v>75</v>
      </c>
      <c r="B44" s="4" t="s">
        <v>50</v>
      </c>
      <c r="C44" s="5">
        <v>0.9</v>
      </c>
      <c r="D44" s="5">
        <v>0.77</v>
      </c>
      <c r="E44" s="5">
        <v>0.91</v>
      </c>
      <c r="F44" s="5">
        <v>-0.18</v>
      </c>
      <c r="G44" s="8">
        <v>-0.16669999999999999</v>
      </c>
      <c r="H44" s="5">
        <v>11</v>
      </c>
      <c r="I44" s="5">
        <v>2070</v>
      </c>
      <c r="J44" s="6">
        <v>0.38729999999999998</v>
      </c>
    </row>
    <row r="45" spans="1:10" ht="18.600000000000001">
      <c r="A45" s="4">
        <v>80</v>
      </c>
      <c r="B45" s="4" t="s">
        <v>51</v>
      </c>
      <c r="C45" s="5">
        <v>1.1299999999999999</v>
      </c>
      <c r="D45" s="5">
        <v>1.07</v>
      </c>
      <c r="E45" s="5">
        <v>1.23</v>
      </c>
      <c r="F45" s="5">
        <v>-0.33</v>
      </c>
      <c r="G45" s="8">
        <v>-0.22600000000000001</v>
      </c>
      <c r="H45" s="5">
        <v>22</v>
      </c>
      <c r="I45" s="5">
        <v>1370</v>
      </c>
      <c r="J45" s="6">
        <v>0.36909999999999998</v>
      </c>
    </row>
    <row r="46" spans="1:10" ht="18.600000000000001">
      <c r="A46" s="4">
        <v>85</v>
      </c>
      <c r="B46" s="4" t="s">
        <v>52</v>
      </c>
      <c r="C46" s="5">
        <v>1.52</v>
      </c>
      <c r="D46" s="5">
        <v>1.49</v>
      </c>
      <c r="E46" s="5">
        <v>1.61</v>
      </c>
      <c r="F46" s="5">
        <v>-0.48</v>
      </c>
      <c r="G46" s="8">
        <v>-0.24</v>
      </c>
      <c r="H46" s="5">
        <v>153</v>
      </c>
      <c r="I46" s="5">
        <v>1334</v>
      </c>
      <c r="J46" s="6">
        <v>0.34949999999999998</v>
      </c>
    </row>
    <row r="47" spans="1:10" ht="18.600000000000001">
      <c r="A47" s="4">
        <v>90</v>
      </c>
      <c r="B47" s="4" t="s">
        <v>53</v>
      </c>
      <c r="C47" s="5">
        <v>2.15</v>
      </c>
      <c r="D47" s="5">
        <v>2.06</v>
      </c>
      <c r="E47" s="5">
        <v>2.21</v>
      </c>
      <c r="F47" s="5">
        <v>-0.53</v>
      </c>
      <c r="G47" s="8">
        <v>-0.1978</v>
      </c>
      <c r="H47" s="5">
        <v>269</v>
      </c>
      <c r="I47" s="5">
        <v>3179</v>
      </c>
      <c r="J47" s="6">
        <v>0.33639999999999998</v>
      </c>
    </row>
    <row r="48" spans="1:10" ht="18.600000000000001">
      <c r="A48" s="4">
        <v>95</v>
      </c>
      <c r="B48" s="4" t="s">
        <v>54</v>
      </c>
      <c r="C48" s="5">
        <v>2.85</v>
      </c>
      <c r="D48" s="5">
        <v>2.85</v>
      </c>
      <c r="E48" s="5">
        <v>2.95</v>
      </c>
      <c r="F48" s="5">
        <v>-0.78</v>
      </c>
      <c r="G48" s="8">
        <v>-0.21490000000000001</v>
      </c>
      <c r="H48" s="5">
        <v>750</v>
      </c>
      <c r="I48" s="5">
        <v>4006</v>
      </c>
      <c r="J48" s="6">
        <v>0.32250000000000001</v>
      </c>
    </row>
    <row r="49" spans="1:10" ht="18.600000000000001">
      <c r="A49" s="4">
        <v>100</v>
      </c>
      <c r="B49" s="4" t="s">
        <v>55</v>
      </c>
      <c r="C49" s="5">
        <v>3.88</v>
      </c>
      <c r="D49" s="5">
        <v>3.85</v>
      </c>
      <c r="E49" s="5">
        <v>4.05</v>
      </c>
      <c r="F49" s="5">
        <v>-0.86</v>
      </c>
      <c r="G49" s="8">
        <v>-0.18140000000000001</v>
      </c>
      <c r="H49" s="5">
        <v>131</v>
      </c>
      <c r="I49" s="5">
        <v>3995</v>
      </c>
      <c r="J49" s="6">
        <v>0.31480000000000002</v>
      </c>
    </row>
    <row r="50" spans="1:10" ht="18.600000000000001">
      <c r="A50" s="4">
        <v>105</v>
      </c>
      <c r="B50" s="4" t="s">
        <v>56</v>
      </c>
      <c r="C50" s="5">
        <v>5.2</v>
      </c>
      <c r="D50" s="5">
        <v>5.0999999999999996</v>
      </c>
      <c r="E50" s="5">
        <v>5.35</v>
      </c>
      <c r="F50" s="5">
        <v>-1.25</v>
      </c>
      <c r="G50" s="8">
        <v>-0.1938</v>
      </c>
      <c r="H50" s="5">
        <v>95</v>
      </c>
      <c r="I50" s="5">
        <v>10999</v>
      </c>
      <c r="J50" s="6">
        <v>0.3049</v>
      </c>
    </row>
    <row r="51" spans="1:10" ht="18.600000000000001">
      <c r="A51" s="4">
        <v>110</v>
      </c>
      <c r="B51" s="4" t="s">
        <v>57</v>
      </c>
      <c r="C51" s="5">
        <v>6.95</v>
      </c>
      <c r="D51" s="5">
        <v>6.75</v>
      </c>
      <c r="E51" s="5">
        <v>6.95</v>
      </c>
      <c r="F51" s="5">
        <v>-1.5</v>
      </c>
      <c r="G51" s="8">
        <v>-0.17749999999999999</v>
      </c>
      <c r="H51" s="5">
        <v>28</v>
      </c>
      <c r="I51" s="5">
        <v>14841</v>
      </c>
      <c r="J51" s="6">
        <v>0.29549999999999998</v>
      </c>
    </row>
    <row r="52" spans="1:10" ht="18.600000000000001">
      <c r="A52" s="4">
        <v>115</v>
      </c>
      <c r="B52" s="4" t="s">
        <v>58</v>
      </c>
      <c r="C52" s="5">
        <v>8.9499999999999993</v>
      </c>
      <c r="D52" s="5">
        <v>8.75</v>
      </c>
      <c r="E52" s="5">
        <v>9</v>
      </c>
      <c r="F52" s="5">
        <v>-1.8</v>
      </c>
      <c r="G52" s="8">
        <v>-0.16739999999999999</v>
      </c>
      <c r="H52" s="5">
        <v>260</v>
      </c>
      <c r="I52" s="5">
        <v>11207</v>
      </c>
      <c r="J52" s="6">
        <v>0.2898</v>
      </c>
    </row>
    <row r="53" spans="1:10" ht="18.600000000000001">
      <c r="A53" s="4">
        <v>120</v>
      </c>
      <c r="B53" s="4" t="s">
        <v>59</v>
      </c>
      <c r="C53" s="5">
        <v>11.4</v>
      </c>
      <c r="D53" s="5">
        <v>11.1</v>
      </c>
      <c r="E53" s="5">
        <v>11.35</v>
      </c>
      <c r="F53" s="5">
        <v>-1.8</v>
      </c>
      <c r="G53" s="8">
        <v>-0.13639999999999999</v>
      </c>
      <c r="H53" s="5">
        <v>28</v>
      </c>
      <c r="I53" s="5">
        <v>10655</v>
      </c>
      <c r="J53" s="6">
        <v>0.2828</v>
      </c>
    </row>
    <row r="54" spans="1:10" ht="18.600000000000001">
      <c r="A54" s="4">
        <v>125</v>
      </c>
      <c r="B54" s="4" t="s">
        <v>60</v>
      </c>
      <c r="C54" s="5">
        <v>14.15</v>
      </c>
      <c r="D54" s="5">
        <v>13.85</v>
      </c>
      <c r="E54" s="5">
        <v>14.1</v>
      </c>
      <c r="F54" s="5">
        <v>-1.95</v>
      </c>
      <c r="G54" s="8">
        <v>-0.1211</v>
      </c>
      <c r="H54" s="5">
        <v>281</v>
      </c>
      <c r="I54" s="5">
        <v>6128</v>
      </c>
      <c r="J54" s="6">
        <v>0.27700000000000002</v>
      </c>
    </row>
    <row r="55" spans="1:10" ht="18.600000000000001">
      <c r="A55" s="4">
        <v>130</v>
      </c>
      <c r="B55" s="4" t="s">
        <v>61</v>
      </c>
      <c r="C55" s="5">
        <v>17.350000000000001</v>
      </c>
      <c r="D55" s="5">
        <v>17</v>
      </c>
      <c r="E55" s="5">
        <v>17.3</v>
      </c>
      <c r="F55" s="5">
        <v>-2.25</v>
      </c>
      <c r="G55" s="8">
        <v>-0.1148</v>
      </c>
      <c r="H55" s="5">
        <v>2</v>
      </c>
      <c r="I55" s="5">
        <v>2491</v>
      </c>
      <c r="J55" s="6">
        <v>0.2742</v>
      </c>
    </row>
    <row r="56" spans="1:10" ht="18.600000000000001">
      <c r="A56" s="4">
        <v>135</v>
      </c>
      <c r="B56" s="4" t="s">
        <v>62</v>
      </c>
      <c r="C56" s="5">
        <v>21.15</v>
      </c>
      <c r="D56" s="5">
        <v>20.55</v>
      </c>
      <c r="E56" s="5">
        <v>20.8</v>
      </c>
      <c r="F56" s="5">
        <v>-5.64</v>
      </c>
      <c r="G56" s="8">
        <v>-0.21049999999999999</v>
      </c>
      <c r="H56" s="5">
        <v>11</v>
      </c>
      <c r="I56" s="5">
        <v>1884</v>
      </c>
      <c r="J56" s="6">
        <v>0.27089999999999997</v>
      </c>
    </row>
    <row r="57" spans="1:10" ht="18.600000000000001">
      <c r="A57" s="4">
        <v>140</v>
      </c>
      <c r="B57" s="4" t="s">
        <v>63</v>
      </c>
      <c r="C57" s="5">
        <v>25.3</v>
      </c>
      <c r="D57" s="5">
        <v>24.4</v>
      </c>
      <c r="E57" s="5">
        <v>24.7</v>
      </c>
      <c r="F57" s="5">
        <v>-3.37</v>
      </c>
      <c r="G57" s="8">
        <v>-0.11749999999999999</v>
      </c>
      <c r="H57" s="5">
        <v>10</v>
      </c>
      <c r="I57" s="5">
        <v>2556</v>
      </c>
      <c r="J57" s="6">
        <v>0.27129999999999999</v>
      </c>
    </row>
    <row r="58" spans="1:10" ht="18.600000000000001">
      <c r="A58" s="4">
        <v>145</v>
      </c>
      <c r="B58" s="4" t="s">
        <v>64</v>
      </c>
      <c r="C58" s="5">
        <v>36.6</v>
      </c>
      <c r="D58" s="5">
        <v>28.5</v>
      </c>
      <c r="E58" s="5">
        <v>29</v>
      </c>
      <c r="F58" s="5">
        <v>0</v>
      </c>
      <c r="G58" s="6">
        <v>0</v>
      </c>
      <c r="H58" s="5">
        <v>20</v>
      </c>
      <c r="I58" s="5">
        <v>203</v>
      </c>
      <c r="J58" s="6">
        <v>0.27779999999999999</v>
      </c>
    </row>
    <row r="59" spans="1:10" ht="18.600000000000001">
      <c r="A59" s="4">
        <v>150</v>
      </c>
      <c r="B59" s="4" t="s">
        <v>65</v>
      </c>
      <c r="C59" s="5">
        <v>41.12</v>
      </c>
      <c r="D59" s="5">
        <v>32.9</v>
      </c>
      <c r="E59" s="5">
        <v>33.450000000000003</v>
      </c>
      <c r="F59" s="5">
        <v>0</v>
      </c>
      <c r="G59" s="6">
        <v>0</v>
      </c>
      <c r="H59" s="5">
        <v>5200</v>
      </c>
      <c r="I59" s="5">
        <v>5386</v>
      </c>
      <c r="J59" s="6">
        <v>0.28439999999999999</v>
      </c>
    </row>
    <row r="60" spans="1:10" ht="18.600000000000001">
      <c r="A60" s="4">
        <v>155</v>
      </c>
      <c r="B60" s="4" t="s">
        <v>66</v>
      </c>
      <c r="C60" s="5">
        <v>41.64</v>
      </c>
      <c r="D60" s="5">
        <v>37.5</v>
      </c>
      <c r="E60" s="5">
        <v>38.15</v>
      </c>
      <c r="F60" s="5">
        <v>0</v>
      </c>
      <c r="G60" s="6">
        <v>0</v>
      </c>
      <c r="H60" s="5">
        <v>100</v>
      </c>
      <c r="I60" s="5">
        <v>245</v>
      </c>
      <c r="J60" s="6">
        <v>0.29680000000000001</v>
      </c>
    </row>
    <row r="61" spans="1:10" ht="18.600000000000001">
      <c r="A61" s="4">
        <v>160</v>
      </c>
      <c r="B61" s="4" t="s">
        <v>67</v>
      </c>
      <c r="C61" s="5">
        <v>48.3</v>
      </c>
      <c r="D61" s="5">
        <v>42.2</v>
      </c>
      <c r="E61" s="5">
        <v>42.85</v>
      </c>
      <c r="F61" s="5">
        <v>0</v>
      </c>
      <c r="G61" s="6">
        <v>0</v>
      </c>
      <c r="H61" s="5">
        <v>5</v>
      </c>
      <c r="I61" s="5">
        <v>293</v>
      </c>
      <c r="J61" s="6">
        <v>0.30620000000000003</v>
      </c>
    </row>
    <row r="62" spans="1:10" ht="18.600000000000001">
      <c r="A62" s="4">
        <v>165</v>
      </c>
      <c r="B62" s="4" t="s">
        <v>68</v>
      </c>
      <c r="C62" s="5">
        <v>56.75</v>
      </c>
      <c r="D62" s="5">
        <v>46.9</v>
      </c>
      <c r="E62" s="5">
        <v>47.7</v>
      </c>
      <c r="F62" s="5">
        <v>0</v>
      </c>
      <c r="G62" s="6">
        <v>0</v>
      </c>
      <c r="H62" s="5">
        <v>10</v>
      </c>
      <c r="I62" s="5">
        <v>42</v>
      </c>
      <c r="J62" s="6">
        <v>0.32</v>
      </c>
    </row>
    <row r="63" spans="1:10" ht="18.600000000000001">
      <c r="A63" s="4">
        <v>170</v>
      </c>
      <c r="B63" s="4" t="s">
        <v>69</v>
      </c>
      <c r="C63" s="5">
        <v>55.95</v>
      </c>
      <c r="D63" s="5">
        <v>51.75</v>
      </c>
      <c r="E63" s="5">
        <v>52.45</v>
      </c>
      <c r="F63" s="5">
        <v>0</v>
      </c>
      <c r="G63" s="6">
        <v>0</v>
      </c>
      <c r="H63" s="5">
        <v>0</v>
      </c>
      <c r="I63" s="5">
        <v>1</v>
      </c>
      <c r="J63" s="6">
        <v>0.32669999999999999</v>
      </c>
    </row>
    <row r="64" spans="1:10" ht="18.600000000000001">
      <c r="A64" s="4">
        <v>175</v>
      </c>
      <c r="B64" s="4" t="s">
        <v>70</v>
      </c>
      <c r="C64" s="5">
        <v>63.75</v>
      </c>
      <c r="D64" s="5">
        <v>56.7</v>
      </c>
      <c r="E64" s="5">
        <v>57.35</v>
      </c>
      <c r="F64" s="5">
        <v>0</v>
      </c>
      <c r="G64" s="6">
        <v>0</v>
      </c>
      <c r="H64" s="5">
        <v>0</v>
      </c>
      <c r="I64" s="5">
        <v>25</v>
      </c>
      <c r="J64" s="6">
        <v>0.33950000000000002</v>
      </c>
    </row>
    <row r="65" spans="1:10" ht="18.600000000000001">
      <c r="A65" s="4">
        <v>180</v>
      </c>
      <c r="B65" s="4" t="s">
        <v>71</v>
      </c>
      <c r="C65" s="5">
        <v>66.900000000000006</v>
      </c>
      <c r="D65" s="5">
        <v>61.6</v>
      </c>
      <c r="E65" s="5">
        <v>62.35</v>
      </c>
      <c r="F65" s="5">
        <v>0</v>
      </c>
      <c r="G65" s="6">
        <v>0</v>
      </c>
      <c r="H65" s="5">
        <v>0</v>
      </c>
      <c r="I65" s="5">
        <v>20</v>
      </c>
      <c r="J65" s="6">
        <v>0.35709999999999997</v>
      </c>
    </row>
    <row r="66" spans="1:10" ht="18.600000000000001">
      <c r="A66" s="4">
        <v>185</v>
      </c>
      <c r="B66" s="4" t="s">
        <v>72</v>
      </c>
      <c r="C66" s="5">
        <v>56.65</v>
      </c>
      <c r="D66" s="5">
        <v>66.45</v>
      </c>
      <c r="E66" s="5">
        <v>67.3</v>
      </c>
      <c r="F66" s="5">
        <v>0</v>
      </c>
      <c r="G66" s="6">
        <v>0</v>
      </c>
      <c r="H66" s="5">
        <v>0</v>
      </c>
      <c r="I66" s="5">
        <v>8</v>
      </c>
      <c r="J66" s="6">
        <v>0.37090000000000001</v>
      </c>
    </row>
    <row r="67" spans="1:10" ht="18.600000000000001">
      <c r="A67" s="4">
        <v>195</v>
      </c>
      <c r="B67" s="4" t="s">
        <v>73</v>
      </c>
      <c r="C67" s="5">
        <v>86.55</v>
      </c>
      <c r="D67" s="5">
        <v>76.45</v>
      </c>
      <c r="E67" s="5">
        <v>77.25</v>
      </c>
      <c r="F67" s="5">
        <v>0</v>
      </c>
      <c r="G67" s="6">
        <v>0</v>
      </c>
      <c r="H67" s="5">
        <v>0</v>
      </c>
      <c r="I67" s="5">
        <v>3</v>
      </c>
      <c r="J67" s="6">
        <v>0.39910000000000001</v>
      </c>
    </row>
  </sheetData>
  <mergeCells count="20">
    <mergeCell ref="A3:J3"/>
    <mergeCell ref="B4:B6"/>
    <mergeCell ref="C4:C6"/>
    <mergeCell ref="D4:D6"/>
    <mergeCell ref="E4:E6"/>
    <mergeCell ref="F4:F6"/>
    <mergeCell ref="G4:G6"/>
    <mergeCell ref="H4:H6"/>
    <mergeCell ref="I4:I6"/>
    <mergeCell ref="J4:J6"/>
    <mergeCell ref="A36:J36"/>
    <mergeCell ref="B37:B39"/>
    <mergeCell ref="C37:C39"/>
    <mergeCell ref="D37:D39"/>
    <mergeCell ref="E37:E39"/>
    <mergeCell ref="F37:F39"/>
    <mergeCell ref="G37:G39"/>
    <mergeCell ref="H37:H39"/>
    <mergeCell ref="I37:I39"/>
    <mergeCell ref="J37:J39"/>
  </mergeCells>
  <hyperlinks>
    <hyperlink ref="A7" r:id="rId1" display="http://finance.yahoo.com/q/op?s=AAPL&amp;strike=55.00" xr:uid="{00000000-0004-0000-0500-000000000000}"/>
    <hyperlink ref="B7" r:id="rId2" xr:uid="{00000000-0004-0000-0500-000001000000}"/>
    <hyperlink ref="A8" r:id="rId3" display="http://finance.yahoo.com/q/op?s=AAPL&amp;strike=60.00" xr:uid="{00000000-0004-0000-0500-000002000000}"/>
    <hyperlink ref="B8" r:id="rId4" xr:uid="{00000000-0004-0000-0500-000003000000}"/>
    <hyperlink ref="A9" r:id="rId5" display="http://finance.yahoo.com/q/op?s=AAPL&amp;strike=65.00" xr:uid="{00000000-0004-0000-0500-000004000000}"/>
    <hyperlink ref="B9" r:id="rId6" xr:uid="{00000000-0004-0000-0500-000005000000}"/>
    <hyperlink ref="A10" r:id="rId7" display="http://finance.yahoo.com/q/op?s=AAPL&amp;strike=70.00" xr:uid="{00000000-0004-0000-0500-000006000000}"/>
    <hyperlink ref="B10" r:id="rId8" xr:uid="{00000000-0004-0000-0500-000007000000}"/>
    <hyperlink ref="A11" r:id="rId9" display="http://finance.yahoo.com/q/op?s=AAPL&amp;strike=75.00" xr:uid="{00000000-0004-0000-0500-000008000000}"/>
    <hyperlink ref="B11" r:id="rId10" xr:uid="{00000000-0004-0000-0500-000009000000}"/>
    <hyperlink ref="A12" r:id="rId11" display="http://finance.yahoo.com/q/op?s=AAPL&amp;strike=80.00" xr:uid="{00000000-0004-0000-0500-00000A000000}"/>
    <hyperlink ref="B12" r:id="rId12" xr:uid="{00000000-0004-0000-0500-00000B000000}"/>
    <hyperlink ref="A13" r:id="rId13" display="http://finance.yahoo.com/q/op?s=AAPL&amp;strike=85.00" xr:uid="{00000000-0004-0000-0500-00000C000000}"/>
    <hyperlink ref="B13" r:id="rId14" xr:uid="{00000000-0004-0000-0500-00000D000000}"/>
    <hyperlink ref="A14" r:id="rId15" display="http://finance.yahoo.com/q/op?s=AAPL&amp;strike=90.00" xr:uid="{00000000-0004-0000-0500-00000E000000}"/>
    <hyperlink ref="B14" r:id="rId16" xr:uid="{00000000-0004-0000-0500-00000F000000}"/>
    <hyperlink ref="A15" r:id="rId17" display="http://finance.yahoo.com/q/op?s=AAPL&amp;strike=95.00" xr:uid="{00000000-0004-0000-0500-000010000000}"/>
    <hyperlink ref="B15" r:id="rId18" xr:uid="{00000000-0004-0000-0500-000011000000}"/>
    <hyperlink ref="A16" r:id="rId19" display="http://finance.yahoo.com/q/op?s=AAPL&amp;strike=100.00" xr:uid="{00000000-0004-0000-0500-000012000000}"/>
    <hyperlink ref="B16" r:id="rId20" xr:uid="{00000000-0004-0000-0500-000013000000}"/>
    <hyperlink ref="A17" r:id="rId21" display="http://finance.yahoo.com/q/op?s=AAPL&amp;strike=105.00" xr:uid="{00000000-0004-0000-0500-000014000000}"/>
    <hyperlink ref="B17" r:id="rId22" xr:uid="{00000000-0004-0000-0500-000015000000}"/>
    <hyperlink ref="A18" r:id="rId23" display="http://finance.yahoo.com/q/op?s=AAPL&amp;strike=110.00" xr:uid="{00000000-0004-0000-0500-000016000000}"/>
    <hyperlink ref="B18" r:id="rId24" xr:uid="{00000000-0004-0000-0500-000017000000}"/>
    <hyperlink ref="A19" r:id="rId25" display="http://finance.yahoo.com/q/op?s=AAPL&amp;strike=115.00" xr:uid="{00000000-0004-0000-0500-000018000000}"/>
    <hyperlink ref="B19" r:id="rId26" xr:uid="{00000000-0004-0000-0500-000019000000}"/>
    <hyperlink ref="A20" r:id="rId27" display="http://finance.yahoo.com/q/op?s=AAPL&amp;strike=120.00" xr:uid="{00000000-0004-0000-0500-00001A000000}"/>
    <hyperlink ref="B20" r:id="rId28" xr:uid="{00000000-0004-0000-0500-00001B000000}"/>
    <hyperlink ref="A21" r:id="rId29" display="http://finance.yahoo.com/q/op?s=AAPL&amp;strike=125.00" xr:uid="{00000000-0004-0000-0500-00001C000000}"/>
    <hyperlink ref="B21" r:id="rId30" xr:uid="{00000000-0004-0000-0500-00001D000000}"/>
    <hyperlink ref="A22" r:id="rId31" display="http://finance.yahoo.com/q/op?s=AAPL&amp;strike=130.00" xr:uid="{00000000-0004-0000-0500-00001E000000}"/>
    <hyperlink ref="B22" r:id="rId32" xr:uid="{00000000-0004-0000-0500-00001F000000}"/>
    <hyperlink ref="A23" r:id="rId33" display="http://finance.yahoo.com/q/op?s=AAPL&amp;strike=135.00" xr:uid="{00000000-0004-0000-0500-000020000000}"/>
    <hyperlink ref="B23" r:id="rId34" xr:uid="{00000000-0004-0000-0500-000021000000}"/>
    <hyperlink ref="A24" r:id="rId35" display="http://finance.yahoo.com/q/op?s=AAPL&amp;strike=140.00" xr:uid="{00000000-0004-0000-0500-000022000000}"/>
    <hyperlink ref="B24" r:id="rId36" xr:uid="{00000000-0004-0000-0500-000023000000}"/>
    <hyperlink ref="A25" r:id="rId37" display="http://finance.yahoo.com/q/op?s=AAPL&amp;strike=145.00" xr:uid="{00000000-0004-0000-0500-000024000000}"/>
    <hyperlink ref="B25" r:id="rId38" xr:uid="{00000000-0004-0000-0500-000025000000}"/>
    <hyperlink ref="A26" r:id="rId39" display="http://finance.yahoo.com/q/op?s=AAPL&amp;strike=150.00" xr:uid="{00000000-0004-0000-0500-000026000000}"/>
    <hyperlink ref="B26" r:id="rId40" xr:uid="{00000000-0004-0000-0500-000027000000}"/>
    <hyperlink ref="A27" r:id="rId41" display="http://finance.yahoo.com/q/op?s=AAPL&amp;strike=155.00" xr:uid="{00000000-0004-0000-0500-000028000000}"/>
    <hyperlink ref="B27" r:id="rId42" xr:uid="{00000000-0004-0000-0500-000029000000}"/>
    <hyperlink ref="A28" r:id="rId43" display="http://finance.yahoo.com/q/op?s=AAPL&amp;strike=160.00" xr:uid="{00000000-0004-0000-0500-00002A000000}"/>
    <hyperlink ref="B28" r:id="rId44" xr:uid="{00000000-0004-0000-0500-00002B000000}"/>
    <hyperlink ref="A29" r:id="rId45" display="http://finance.yahoo.com/q/op?s=AAPL&amp;strike=165.00" xr:uid="{00000000-0004-0000-0500-00002C000000}"/>
    <hyperlink ref="B29" r:id="rId46" xr:uid="{00000000-0004-0000-0500-00002D000000}"/>
    <hyperlink ref="A30" r:id="rId47" display="http://finance.yahoo.com/q/op?s=AAPL&amp;strike=170.00" xr:uid="{00000000-0004-0000-0500-00002E000000}"/>
    <hyperlink ref="B30" r:id="rId48" xr:uid="{00000000-0004-0000-0500-00002F000000}"/>
    <hyperlink ref="A31" r:id="rId49" display="http://finance.yahoo.com/q/op?s=AAPL&amp;strike=175.00" xr:uid="{00000000-0004-0000-0500-000030000000}"/>
    <hyperlink ref="B31" r:id="rId50" xr:uid="{00000000-0004-0000-0500-000031000000}"/>
    <hyperlink ref="A32" r:id="rId51" display="http://finance.yahoo.com/q/op?s=AAPL&amp;strike=180.00" xr:uid="{00000000-0004-0000-0500-000032000000}"/>
    <hyperlink ref="B32" r:id="rId52" xr:uid="{00000000-0004-0000-0500-000033000000}"/>
    <hyperlink ref="A33" r:id="rId53" display="http://finance.yahoo.com/q/op?s=AAPL&amp;strike=185.00" xr:uid="{00000000-0004-0000-0500-000034000000}"/>
    <hyperlink ref="B33" r:id="rId54" xr:uid="{00000000-0004-0000-0500-000035000000}"/>
    <hyperlink ref="A34" r:id="rId55" display="http://finance.yahoo.com/q/op?s=AAPL&amp;strike=190.00" xr:uid="{00000000-0004-0000-0500-000036000000}"/>
    <hyperlink ref="B34" r:id="rId56" xr:uid="{00000000-0004-0000-0500-000037000000}"/>
    <hyperlink ref="A35" r:id="rId57" display="http://finance.yahoo.com/q/op?s=AAPL&amp;strike=195.00" xr:uid="{00000000-0004-0000-0500-000038000000}"/>
    <hyperlink ref="B35" r:id="rId58" xr:uid="{00000000-0004-0000-0500-000039000000}"/>
    <hyperlink ref="A40" r:id="rId59" display="http://finance.yahoo.com/q/op?s=AAPL&amp;strike=55.00" xr:uid="{00000000-0004-0000-0500-00003A000000}"/>
    <hyperlink ref="B40" r:id="rId60" xr:uid="{00000000-0004-0000-0500-00003B000000}"/>
    <hyperlink ref="A41" r:id="rId61" display="http://finance.yahoo.com/q/op?s=AAPL&amp;strike=60.00" xr:uid="{00000000-0004-0000-0500-00003C000000}"/>
    <hyperlink ref="B41" r:id="rId62" xr:uid="{00000000-0004-0000-0500-00003D000000}"/>
    <hyperlink ref="A42" r:id="rId63" display="http://finance.yahoo.com/q/op?s=AAPL&amp;strike=65.00" xr:uid="{00000000-0004-0000-0500-00003E000000}"/>
    <hyperlink ref="B42" r:id="rId64" xr:uid="{00000000-0004-0000-0500-00003F000000}"/>
    <hyperlink ref="A43" r:id="rId65" display="http://finance.yahoo.com/q/op?s=AAPL&amp;strike=70.00" xr:uid="{00000000-0004-0000-0500-000040000000}"/>
    <hyperlink ref="B43" r:id="rId66" xr:uid="{00000000-0004-0000-0500-000041000000}"/>
    <hyperlink ref="A44" r:id="rId67" display="http://finance.yahoo.com/q/op?s=AAPL&amp;strike=75.00" xr:uid="{00000000-0004-0000-0500-000042000000}"/>
    <hyperlink ref="B44" r:id="rId68" xr:uid="{00000000-0004-0000-0500-000043000000}"/>
    <hyperlink ref="A45" r:id="rId69" display="http://finance.yahoo.com/q/op?s=AAPL&amp;strike=80.00" xr:uid="{00000000-0004-0000-0500-000044000000}"/>
    <hyperlink ref="B45" r:id="rId70" xr:uid="{00000000-0004-0000-0500-000045000000}"/>
    <hyperlink ref="A46" r:id="rId71" display="http://finance.yahoo.com/q/op?s=AAPL&amp;strike=85.00" xr:uid="{00000000-0004-0000-0500-000046000000}"/>
    <hyperlink ref="B46" r:id="rId72" xr:uid="{00000000-0004-0000-0500-000047000000}"/>
    <hyperlink ref="A47" r:id="rId73" display="http://finance.yahoo.com/q/op?s=AAPL&amp;strike=90.00" xr:uid="{00000000-0004-0000-0500-000048000000}"/>
    <hyperlink ref="B47" r:id="rId74" xr:uid="{00000000-0004-0000-0500-000049000000}"/>
    <hyperlink ref="A48" r:id="rId75" display="http://finance.yahoo.com/q/op?s=AAPL&amp;strike=95.00" xr:uid="{00000000-0004-0000-0500-00004A000000}"/>
    <hyperlink ref="B48" r:id="rId76" xr:uid="{00000000-0004-0000-0500-00004B000000}"/>
    <hyperlink ref="A49" r:id="rId77" display="http://finance.yahoo.com/q/op?s=AAPL&amp;strike=100.00" xr:uid="{00000000-0004-0000-0500-00004C000000}"/>
    <hyperlink ref="B49" r:id="rId78" xr:uid="{00000000-0004-0000-0500-00004D000000}"/>
    <hyperlink ref="A50" r:id="rId79" display="http://finance.yahoo.com/q/op?s=AAPL&amp;strike=105.00" xr:uid="{00000000-0004-0000-0500-00004E000000}"/>
    <hyperlink ref="B50" r:id="rId80" xr:uid="{00000000-0004-0000-0500-00004F000000}"/>
    <hyperlink ref="A51" r:id="rId81" display="http://finance.yahoo.com/q/op?s=AAPL&amp;strike=110.00" xr:uid="{00000000-0004-0000-0500-000050000000}"/>
    <hyperlink ref="B51" r:id="rId82" xr:uid="{00000000-0004-0000-0500-000051000000}"/>
    <hyperlink ref="A52" r:id="rId83" display="http://finance.yahoo.com/q/op?s=AAPL&amp;strike=115.00" xr:uid="{00000000-0004-0000-0500-000052000000}"/>
    <hyperlink ref="B52" r:id="rId84" xr:uid="{00000000-0004-0000-0500-000053000000}"/>
    <hyperlink ref="A53" r:id="rId85" display="http://finance.yahoo.com/q/op?s=AAPL&amp;strike=120.00" xr:uid="{00000000-0004-0000-0500-000054000000}"/>
    <hyperlink ref="B53" r:id="rId86" xr:uid="{00000000-0004-0000-0500-000055000000}"/>
    <hyperlink ref="A54" r:id="rId87" display="http://finance.yahoo.com/q/op?s=AAPL&amp;strike=125.00" xr:uid="{00000000-0004-0000-0500-000056000000}"/>
    <hyperlink ref="B54" r:id="rId88" xr:uid="{00000000-0004-0000-0500-000057000000}"/>
    <hyperlink ref="A55" r:id="rId89" display="http://finance.yahoo.com/q/op?s=AAPL&amp;strike=130.00" xr:uid="{00000000-0004-0000-0500-000058000000}"/>
    <hyperlink ref="B55" r:id="rId90" xr:uid="{00000000-0004-0000-0500-000059000000}"/>
    <hyperlink ref="A56" r:id="rId91" display="http://finance.yahoo.com/q/op?s=AAPL&amp;strike=135.00" xr:uid="{00000000-0004-0000-0500-00005A000000}"/>
    <hyperlink ref="B56" r:id="rId92" xr:uid="{00000000-0004-0000-0500-00005B000000}"/>
    <hyperlink ref="A57" r:id="rId93" display="http://finance.yahoo.com/q/op?s=AAPL&amp;strike=140.00" xr:uid="{00000000-0004-0000-0500-00005C000000}"/>
    <hyperlink ref="B57" r:id="rId94" xr:uid="{00000000-0004-0000-0500-00005D000000}"/>
    <hyperlink ref="A58" r:id="rId95" display="http://finance.yahoo.com/q/op?s=AAPL&amp;strike=145.00" xr:uid="{00000000-0004-0000-0500-00005E000000}"/>
    <hyperlink ref="B58" r:id="rId96" xr:uid="{00000000-0004-0000-0500-00005F000000}"/>
    <hyperlink ref="A59" r:id="rId97" display="http://finance.yahoo.com/q/op?s=AAPL&amp;strike=150.00" xr:uid="{00000000-0004-0000-0500-000060000000}"/>
    <hyperlink ref="B59" r:id="rId98" xr:uid="{00000000-0004-0000-0500-000061000000}"/>
    <hyperlink ref="A60" r:id="rId99" display="http://finance.yahoo.com/q/op?s=AAPL&amp;strike=155.00" xr:uid="{00000000-0004-0000-0500-000062000000}"/>
    <hyperlink ref="B60" r:id="rId100" xr:uid="{00000000-0004-0000-0500-000063000000}"/>
    <hyperlink ref="A61" r:id="rId101" display="http://finance.yahoo.com/q/op?s=AAPL&amp;strike=160.00" xr:uid="{00000000-0004-0000-0500-000064000000}"/>
    <hyperlink ref="B61" r:id="rId102" xr:uid="{00000000-0004-0000-0500-000065000000}"/>
    <hyperlink ref="A62" r:id="rId103" display="http://finance.yahoo.com/q/op?s=AAPL&amp;strike=165.00" xr:uid="{00000000-0004-0000-0500-000066000000}"/>
    <hyperlink ref="B62" r:id="rId104" xr:uid="{00000000-0004-0000-0500-000067000000}"/>
    <hyperlink ref="A63" r:id="rId105" display="http://finance.yahoo.com/q/op?s=AAPL&amp;strike=170.00" xr:uid="{00000000-0004-0000-0500-000068000000}"/>
    <hyperlink ref="B63" r:id="rId106" xr:uid="{00000000-0004-0000-0500-000069000000}"/>
    <hyperlink ref="A64" r:id="rId107" display="http://finance.yahoo.com/q/op?s=AAPL&amp;strike=175.00" xr:uid="{00000000-0004-0000-0500-00006A000000}"/>
    <hyperlink ref="B64" r:id="rId108" xr:uid="{00000000-0004-0000-0500-00006B000000}"/>
    <hyperlink ref="A65" r:id="rId109" display="http://finance.yahoo.com/q/op?s=AAPL&amp;strike=180.00" xr:uid="{00000000-0004-0000-0500-00006C000000}"/>
    <hyperlink ref="B65" r:id="rId110" xr:uid="{00000000-0004-0000-0500-00006D000000}"/>
    <hyperlink ref="A66" r:id="rId111" display="http://finance.yahoo.com/q/op?s=AAPL&amp;strike=185.00" xr:uid="{00000000-0004-0000-0500-00006E000000}"/>
    <hyperlink ref="B66" r:id="rId112" xr:uid="{00000000-0004-0000-0500-00006F000000}"/>
    <hyperlink ref="A67" r:id="rId113" display="http://finance.yahoo.com/q/op?s=AAPL&amp;strike=195.00" xr:uid="{00000000-0004-0000-0500-000070000000}"/>
    <hyperlink ref="B67" r:id="rId114" xr:uid="{00000000-0004-0000-0500-000071000000}"/>
  </hyperlink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70"/>
  <sheetViews>
    <sheetView topLeftCell="A7" workbookViewId="0">
      <selection sqref="A1:XFD1048576"/>
    </sheetView>
  </sheetViews>
  <sheetFormatPr defaultColWidth="11" defaultRowHeight="15.6"/>
  <cols>
    <col min="2" max="2" width="21.3984375" customWidth="1"/>
  </cols>
  <sheetData>
    <row r="1" spans="1:11"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</row>
    <row r="2" spans="1:11" ht="18.600000000000001">
      <c r="A2" s="4">
        <v>90</v>
      </c>
      <c r="B2" s="4" t="s">
        <v>23</v>
      </c>
      <c r="C2" s="5">
        <v>30.4</v>
      </c>
      <c r="D2" s="5">
        <v>30.15</v>
      </c>
      <c r="E2" s="5">
        <v>30.65</v>
      </c>
      <c r="F2" s="5">
        <v>4.0599999999999996</v>
      </c>
      <c r="G2" s="7">
        <v>0.15409999999999999</v>
      </c>
      <c r="H2" s="5">
        <v>30</v>
      </c>
      <c r="I2" s="5">
        <v>706</v>
      </c>
      <c r="J2" s="6">
        <v>0.30130000000000001</v>
      </c>
      <c r="K2" t="s">
        <v>300</v>
      </c>
    </row>
    <row r="3" spans="1:11" ht="18.600000000000001">
      <c r="A3" s="4">
        <v>95</v>
      </c>
      <c r="B3" s="4" t="s">
        <v>24</v>
      </c>
      <c r="C3" s="5">
        <v>26.2</v>
      </c>
      <c r="D3" s="5">
        <v>25.9</v>
      </c>
      <c r="E3" s="5">
        <v>26.4</v>
      </c>
      <c r="F3" s="5">
        <v>4.05</v>
      </c>
      <c r="G3" s="7">
        <v>0.18279999999999999</v>
      </c>
      <c r="H3" s="5">
        <v>25</v>
      </c>
      <c r="I3" s="5">
        <v>656</v>
      </c>
      <c r="J3" s="6">
        <v>0.29430000000000001</v>
      </c>
    </row>
    <row r="4" spans="1:11" ht="18.600000000000001">
      <c r="A4" s="4">
        <v>100</v>
      </c>
      <c r="B4" s="4" t="s">
        <v>25</v>
      </c>
      <c r="C4" s="5">
        <v>22</v>
      </c>
      <c r="D4" s="5">
        <v>21.95</v>
      </c>
      <c r="E4" s="5">
        <v>22.4</v>
      </c>
      <c r="F4" s="5">
        <v>2.7</v>
      </c>
      <c r="G4" s="7">
        <v>0.1399</v>
      </c>
      <c r="H4" s="5">
        <v>416</v>
      </c>
      <c r="I4" s="5">
        <v>5761</v>
      </c>
      <c r="J4" s="6">
        <v>0.28749999999999998</v>
      </c>
    </row>
    <row r="5" spans="1:11" ht="18.600000000000001">
      <c r="A5" s="4">
        <v>105</v>
      </c>
      <c r="B5" s="4" t="s">
        <v>26</v>
      </c>
      <c r="C5" s="5">
        <v>18.260000000000002</v>
      </c>
      <c r="D5" s="5">
        <v>18.25</v>
      </c>
      <c r="E5" s="5">
        <v>18.649999999999999</v>
      </c>
      <c r="F5" s="5">
        <v>2.86</v>
      </c>
      <c r="G5" s="7">
        <v>0.1857</v>
      </c>
      <c r="H5" s="5">
        <v>36</v>
      </c>
      <c r="I5" s="5">
        <v>2762</v>
      </c>
      <c r="J5" s="6">
        <v>0.2797</v>
      </c>
    </row>
    <row r="6" spans="1:11" ht="18.600000000000001">
      <c r="A6" s="4">
        <v>110</v>
      </c>
      <c r="B6" s="4" t="s">
        <v>27</v>
      </c>
      <c r="C6" s="5">
        <v>15</v>
      </c>
      <c r="D6" s="5">
        <v>14.95</v>
      </c>
      <c r="E6" s="5">
        <v>15.3</v>
      </c>
      <c r="F6" s="5">
        <v>2.33</v>
      </c>
      <c r="G6" s="7">
        <v>0.18390000000000001</v>
      </c>
      <c r="H6" s="5">
        <v>283</v>
      </c>
      <c r="I6" s="5">
        <v>20042</v>
      </c>
      <c r="J6" s="6">
        <v>0.2742</v>
      </c>
    </row>
    <row r="7" spans="1:11" ht="18.600000000000001">
      <c r="A7" s="4">
        <v>115</v>
      </c>
      <c r="B7" s="4" t="s">
        <v>28</v>
      </c>
      <c r="C7" s="5">
        <v>11.92</v>
      </c>
      <c r="D7" s="5">
        <v>11.95</v>
      </c>
      <c r="E7" s="5">
        <v>12.15</v>
      </c>
      <c r="F7" s="5">
        <v>1.85</v>
      </c>
      <c r="G7" s="7">
        <v>0.1837</v>
      </c>
      <c r="H7" s="5">
        <v>431</v>
      </c>
      <c r="I7" s="5">
        <v>7453</v>
      </c>
      <c r="J7" s="6">
        <v>0.26450000000000001</v>
      </c>
    </row>
    <row r="8" spans="1:11" ht="18.600000000000001">
      <c r="A8" s="4">
        <v>120</v>
      </c>
      <c r="B8" s="4" t="s">
        <v>29</v>
      </c>
      <c r="C8" s="5">
        <v>9.36</v>
      </c>
      <c r="D8" s="5">
        <v>9.3000000000000007</v>
      </c>
      <c r="E8" s="5">
        <v>9.5500000000000007</v>
      </c>
      <c r="F8" s="5">
        <v>1.76</v>
      </c>
      <c r="G8" s="7">
        <v>0.2316</v>
      </c>
      <c r="H8" s="5">
        <v>216</v>
      </c>
      <c r="I8" s="5">
        <v>9433</v>
      </c>
      <c r="J8" s="6">
        <v>0.2596</v>
      </c>
    </row>
    <row r="9" spans="1:11" ht="18.600000000000001">
      <c r="A9" s="4">
        <v>125</v>
      </c>
      <c r="B9" s="4" t="s">
        <v>30</v>
      </c>
      <c r="C9" s="5">
        <v>7.15</v>
      </c>
      <c r="D9" s="5">
        <v>7.05</v>
      </c>
      <c r="E9" s="5">
        <v>7.3</v>
      </c>
      <c r="F9" s="5">
        <v>1.45</v>
      </c>
      <c r="G9" s="7">
        <v>0.25440000000000002</v>
      </c>
      <c r="H9" s="5">
        <v>274</v>
      </c>
      <c r="I9" s="5">
        <v>8404</v>
      </c>
      <c r="J9" s="6">
        <v>0.25380000000000003</v>
      </c>
    </row>
    <row r="10" spans="1:11" ht="18.600000000000001">
      <c r="A10" s="4">
        <v>130</v>
      </c>
      <c r="B10" s="4" t="s">
        <v>31</v>
      </c>
      <c r="C10" s="5">
        <v>5.33</v>
      </c>
      <c r="D10" s="5">
        <v>5.2</v>
      </c>
      <c r="E10" s="5">
        <v>5.45</v>
      </c>
      <c r="F10" s="5">
        <v>1.22</v>
      </c>
      <c r="G10" s="7">
        <v>0.29680000000000001</v>
      </c>
      <c r="H10" s="5">
        <v>227</v>
      </c>
      <c r="I10" s="5">
        <v>8809</v>
      </c>
      <c r="J10" s="6">
        <v>0.24859999999999999</v>
      </c>
    </row>
    <row r="11" spans="1:11" ht="18.600000000000001">
      <c r="A11" s="4">
        <v>135</v>
      </c>
      <c r="B11" s="4" t="s">
        <v>32</v>
      </c>
      <c r="C11" s="5">
        <v>3.85</v>
      </c>
      <c r="D11" s="5">
        <v>3.75</v>
      </c>
      <c r="E11" s="5">
        <v>3.9</v>
      </c>
      <c r="F11" s="5">
        <v>0.95</v>
      </c>
      <c r="G11" s="7">
        <v>0.3276</v>
      </c>
      <c r="H11" s="5">
        <v>494</v>
      </c>
      <c r="I11" s="5">
        <v>7681</v>
      </c>
      <c r="J11" s="6">
        <v>0.2417</v>
      </c>
    </row>
    <row r="12" spans="1:11" ht="18.600000000000001">
      <c r="A12" s="4">
        <v>140</v>
      </c>
      <c r="B12" s="4" t="s">
        <v>33</v>
      </c>
      <c r="C12" s="5">
        <v>2.77</v>
      </c>
      <c r="D12" s="5">
        <v>2.67</v>
      </c>
      <c r="E12" s="5">
        <v>2.82</v>
      </c>
      <c r="F12" s="5">
        <v>0.81</v>
      </c>
      <c r="G12" s="7">
        <v>0.4133</v>
      </c>
      <c r="H12" s="5">
        <v>683</v>
      </c>
      <c r="I12" s="5">
        <v>47962</v>
      </c>
      <c r="J12" s="6">
        <v>0.23949999999999999</v>
      </c>
    </row>
    <row r="13" spans="1:11" ht="18.600000000000001">
      <c r="A13" s="4">
        <v>145</v>
      </c>
      <c r="B13" s="4" t="s">
        <v>34</v>
      </c>
      <c r="C13" s="5">
        <v>1.83</v>
      </c>
      <c r="D13" s="5">
        <v>1.82</v>
      </c>
      <c r="E13" s="5">
        <v>1.99</v>
      </c>
      <c r="F13" s="5">
        <v>0.46</v>
      </c>
      <c r="G13" s="7">
        <v>0.33579999999999999</v>
      </c>
      <c r="H13" s="5">
        <v>60</v>
      </c>
      <c r="I13" s="5">
        <v>4920</v>
      </c>
      <c r="J13" s="6">
        <v>0.23699999999999999</v>
      </c>
    </row>
    <row r="14" spans="1:11" ht="18.600000000000001">
      <c r="A14" s="4">
        <v>150</v>
      </c>
      <c r="B14" s="4" t="s">
        <v>35</v>
      </c>
      <c r="C14" s="5">
        <v>1.3</v>
      </c>
      <c r="D14" s="5">
        <v>1.24</v>
      </c>
      <c r="E14" s="5">
        <v>1.33</v>
      </c>
      <c r="F14" s="5">
        <v>0.31</v>
      </c>
      <c r="G14" s="7">
        <v>0.31309999999999999</v>
      </c>
      <c r="H14" s="5">
        <v>233</v>
      </c>
      <c r="I14" s="5">
        <v>14062</v>
      </c>
      <c r="J14" s="6">
        <v>0.2324</v>
      </c>
    </row>
    <row r="16" spans="1:11" ht="18.600000000000001">
      <c r="A16" s="4">
        <v>90</v>
      </c>
      <c r="B16" s="4" t="s">
        <v>156</v>
      </c>
      <c r="C16" s="5">
        <v>29.1</v>
      </c>
      <c r="D16" s="5">
        <v>29</v>
      </c>
      <c r="E16" s="5">
        <v>29.15</v>
      </c>
      <c r="F16" s="5">
        <v>3.4</v>
      </c>
      <c r="G16" s="7">
        <v>0.1323</v>
      </c>
      <c r="H16" s="5">
        <v>325</v>
      </c>
      <c r="I16" s="5">
        <v>1635</v>
      </c>
      <c r="J16" s="6">
        <v>0.32519999999999999</v>
      </c>
      <c r="K16" t="s">
        <v>301</v>
      </c>
    </row>
    <row r="17" spans="1:11" ht="18.600000000000001">
      <c r="A17" s="4">
        <v>95</v>
      </c>
      <c r="B17" s="4" t="s">
        <v>157</v>
      </c>
      <c r="C17" s="5">
        <v>24.15</v>
      </c>
      <c r="D17" s="5">
        <v>24.05</v>
      </c>
      <c r="E17" s="5">
        <v>24.3</v>
      </c>
      <c r="F17" s="5">
        <v>4.0999999999999996</v>
      </c>
      <c r="G17" s="7">
        <v>0.20449999999999999</v>
      </c>
      <c r="H17" s="5">
        <v>248</v>
      </c>
      <c r="I17" s="5">
        <v>1651</v>
      </c>
      <c r="J17" s="6">
        <v>0.32569999999999999</v>
      </c>
    </row>
    <row r="18" spans="1:11" ht="18.600000000000001">
      <c r="A18" s="4">
        <v>100</v>
      </c>
      <c r="B18" s="4" t="s">
        <v>158</v>
      </c>
      <c r="C18" s="5">
        <v>19.45</v>
      </c>
      <c r="D18" s="5">
        <v>19.3</v>
      </c>
      <c r="E18" s="5">
        <v>19.55</v>
      </c>
      <c r="F18" s="5">
        <v>3.38</v>
      </c>
      <c r="G18" s="7">
        <v>0.21029999999999999</v>
      </c>
      <c r="H18" s="5">
        <v>873</v>
      </c>
      <c r="I18" s="5">
        <v>3851</v>
      </c>
      <c r="J18" s="6">
        <v>0.311</v>
      </c>
    </row>
    <row r="19" spans="1:11" ht="18.600000000000001">
      <c r="A19" s="4">
        <v>105</v>
      </c>
      <c r="B19" s="4" t="s">
        <v>159</v>
      </c>
      <c r="C19" s="5">
        <v>14.9</v>
      </c>
      <c r="D19" s="5">
        <v>14.75</v>
      </c>
      <c r="E19" s="5">
        <v>14.9</v>
      </c>
      <c r="F19" s="5">
        <v>3.07</v>
      </c>
      <c r="G19" s="7">
        <v>0.25950000000000001</v>
      </c>
      <c r="H19" s="5">
        <v>682</v>
      </c>
      <c r="I19" s="5">
        <v>6888</v>
      </c>
      <c r="J19" s="6">
        <v>0.2833</v>
      </c>
    </row>
    <row r="20" spans="1:11" ht="18.600000000000001">
      <c r="A20" s="4">
        <v>110</v>
      </c>
      <c r="B20" s="4" t="s">
        <v>160</v>
      </c>
      <c r="C20" s="5">
        <v>10.7</v>
      </c>
      <c r="D20" s="5">
        <v>10.6</v>
      </c>
      <c r="E20" s="5">
        <v>10.7</v>
      </c>
      <c r="F20" s="5">
        <v>2.8</v>
      </c>
      <c r="G20" s="7">
        <v>0.35439999999999999</v>
      </c>
      <c r="H20" s="5">
        <v>6062</v>
      </c>
      <c r="I20" s="5">
        <v>13522</v>
      </c>
      <c r="J20" s="6">
        <v>0.27</v>
      </c>
    </row>
    <row r="21" spans="1:11" ht="18.600000000000001">
      <c r="A21" s="4">
        <v>115</v>
      </c>
      <c r="B21" s="4" t="s">
        <v>161</v>
      </c>
      <c r="C21" s="5">
        <v>7.05</v>
      </c>
      <c r="D21" s="5">
        <v>7</v>
      </c>
      <c r="E21" s="5">
        <v>7.1</v>
      </c>
      <c r="F21" s="5">
        <v>2.35</v>
      </c>
      <c r="G21" s="7">
        <v>0.5</v>
      </c>
      <c r="H21" s="5">
        <v>4294</v>
      </c>
      <c r="I21" s="5">
        <v>43774</v>
      </c>
      <c r="J21" s="6">
        <v>0.25940000000000002</v>
      </c>
    </row>
    <row r="22" spans="1:11" ht="18.600000000000001">
      <c r="A22" s="4">
        <v>120</v>
      </c>
      <c r="B22" s="4" t="s">
        <v>162</v>
      </c>
      <c r="C22" s="5">
        <v>4.2</v>
      </c>
      <c r="D22" s="5">
        <v>4.1500000000000004</v>
      </c>
      <c r="E22" s="5">
        <v>4.2</v>
      </c>
      <c r="F22" s="5">
        <v>1.76</v>
      </c>
      <c r="G22" s="7">
        <v>0.72130000000000005</v>
      </c>
      <c r="H22" s="5">
        <v>10879</v>
      </c>
      <c r="I22" s="5">
        <v>32834</v>
      </c>
      <c r="J22" s="6">
        <v>0.24660000000000001</v>
      </c>
    </row>
    <row r="23" spans="1:11" ht="18.600000000000001">
      <c r="A23" s="4">
        <v>125</v>
      </c>
      <c r="B23" s="4" t="s">
        <v>163</v>
      </c>
      <c r="C23" s="5">
        <v>2.2000000000000002</v>
      </c>
      <c r="D23" s="5">
        <v>2.19</v>
      </c>
      <c r="E23" s="5">
        <v>2.2000000000000002</v>
      </c>
      <c r="F23" s="5">
        <v>1.1299999999999999</v>
      </c>
      <c r="G23" s="7">
        <v>1.0561</v>
      </c>
      <c r="H23" s="5">
        <v>10835</v>
      </c>
      <c r="I23" s="5">
        <v>28820</v>
      </c>
      <c r="J23" s="6">
        <v>0.23719999999999999</v>
      </c>
    </row>
    <row r="24" spans="1:11" ht="18.600000000000001">
      <c r="A24" s="4">
        <v>130</v>
      </c>
      <c r="B24" s="4" t="s">
        <v>164</v>
      </c>
      <c r="C24" s="5">
        <v>1.06</v>
      </c>
      <c r="D24" s="5">
        <v>1.06</v>
      </c>
      <c r="E24" s="5">
        <v>1.08</v>
      </c>
      <c r="F24" s="5">
        <v>0.64</v>
      </c>
      <c r="G24" s="7">
        <v>1.5238</v>
      </c>
      <c r="H24" s="5">
        <v>13173</v>
      </c>
      <c r="I24" s="5">
        <v>33641</v>
      </c>
      <c r="J24" s="6">
        <v>0.23599999999999999</v>
      </c>
    </row>
    <row r="25" spans="1:11" ht="18.600000000000001">
      <c r="A25" s="4">
        <v>135</v>
      </c>
      <c r="B25" s="4" t="s">
        <v>165</v>
      </c>
      <c r="C25" s="5">
        <v>0.49</v>
      </c>
      <c r="D25" s="5">
        <v>0.48</v>
      </c>
      <c r="E25" s="5">
        <v>0.5</v>
      </c>
      <c r="F25" s="5">
        <v>0.28999999999999998</v>
      </c>
      <c r="G25" s="7">
        <v>1.45</v>
      </c>
      <c r="H25" s="5">
        <v>4356</v>
      </c>
      <c r="I25" s="5">
        <v>18430</v>
      </c>
      <c r="J25" s="6">
        <v>0.23760000000000001</v>
      </c>
    </row>
    <row r="26" spans="1:11" ht="18.600000000000001">
      <c r="A26" s="4">
        <v>140</v>
      </c>
      <c r="B26" s="4" t="s">
        <v>166</v>
      </c>
      <c r="C26" s="5">
        <v>0.25</v>
      </c>
      <c r="D26" s="5">
        <v>0.22</v>
      </c>
      <c r="E26" s="5">
        <v>0.25</v>
      </c>
      <c r="F26" s="5">
        <v>0.14000000000000001</v>
      </c>
      <c r="G26" s="7">
        <v>1.2726999999999999</v>
      </c>
      <c r="H26" s="5">
        <v>386</v>
      </c>
      <c r="I26" s="5">
        <v>32253</v>
      </c>
      <c r="J26" s="6">
        <v>0.24610000000000001</v>
      </c>
    </row>
    <row r="27" spans="1:11" ht="18.600000000000001">
      <c r="A27" s="4">
        <v>145</v>
      </c>
      <c r="B27" s="4" t="s">
        <v>167</v>
      </c>
      <c r="C27" s="5">
        <v>0.12</v>
      </c>
      <c r="D27" s="5">
        <v>0.11</v>
      </c>
      <c r="E27" s="5">
        <v>0.14000000000000001</v>
      </c>
      <c r="F27" s="5">
        <v>0.05</v>
      </c>
      <c r="G27" s="7">
        <v>0.71430000000000005</v>
      </c>
      <c r="H27" s="5">
        <v>664</v>
      </c>
      <c r="I27" s="5">
        <v>5644</v>
      </c>
      <c r="J27" s="6">
        <v>0.25929999999999997</v>
      </c>
    </row>
    <row r="28" spans="1:11" ht="18.600000000000001">
      <c r="A28" s="4">
        <v>150</v>
      </c>
      <c r="B28" s="4" t="s">
        <v>168</v>
      </c>
      <c r="C28" s="5">
        <v>7.0000000000000007E-2</v>
      </c>
      <c r="D28" s="5">
        <v>7.0000000000000007E-2</v>
      </c>
      <c r="E28" s="5">
        <v>0.09</v>
      </c>
      <c r="F28" s="5">
        <v>0.01</v>
      </c>
      <c r="G28" s="7">
        <v>0.16669999999999999</v>
      </c>
      <c r="H28" s="5">
        <v>26</v>
      </c>
      <c r="I28" s="5">
        <v>4385</v>
      </c>
      <c r="J28" s="6">
        <v>0.27639999999999998</v>
      </c>
    </row>
    <row r="30" spans="1:11" ht="18.600000000000001">
      <c r="A30" s="4">
        <v>90</v>
      </c>
      <c r="B30" s="4" t="s">
        <v>209</v>
      </c>
      <c r="C30" s="5">
        <v>29.05</v>
      </c>
      <c r="D30" s="5">
        <v>29.35</v>
      </c>
      <c r="E30" s="5">
        <v>29.7</v>
      </c>
      <c r="F30" s="5">
        <v>3.18</v>
      </c>
      <c r="G30" s="7">
        <v>0.1229</v>
      </c>
      <c r="H30" s="5">
        <v>4</v>
      </c>
      <c r="I30" s="5">
        <v>4</v>
      </c>
      <c r="J30" s="6">
        <v>0.33229999999999998</v>
      </c>
      <c r="K30" t="s">
        <v>302</v>
      </c>
    </row>
    <row r="31" spans="1:11" ht="18.600000000000001">
      <c r="A31" s="4">
        <v>95</v>
      </c>
      <c r="B31" s="4" t="s">
        <v>210</v>
      </c>
      <c r="C31" s="5">
        <v>24.88</v>
      </c>
      <c r="D31" s="5">
        <v>24.75</v>
      </c>
      <c r="E31" s="5">
        <v>25.05</v>
      </c>
      <c r="F31" s="5">
        <v>3.33</v>
      </c>
      <c r="G31" s="7">
        <v>0.1545</v>
      </c>
      <c r="H31" s="5">
        <v>13</v>
      </c>
      <c r="I31" s="5">
        <v>6</v>
      </c>
      <c r="J31" s="6">
        <v>0.31490000000000001</v>
      </c>
    </row>
    <row r="32" spans="1:11" ht="18.600000000000001">
      <c r="A32" s="4">
        <v>100</v>
      </c>
      <c r="B32" s="4" t="s">
        <v>211</v>
      </c>
      <c r="C32" s="5">
        <v>20.440000000000001</v>
      </c>
      <c r="D32" s="5">
        <v>20.350000000000001</v>
      </c>
      <c r="E32" s="5">
        <v>20.6</v>
      </c>
      <c r="F32" s="5">
        <v>4.1399999999999997</v>
      </c>
      <c r="G32" s="7">
        <v>0.254</v>
      </c>
      <c r="H32" s="5">
        <v>44</v>
      </c>
      <c r="I32" s="5">
        <v>101</v>
      </c>
      <c r="J32" s="6">
        <v>0.30009999999999998</v>
      </c>
    </row>
    <row r="33" spans="1:11" ht="18.600000000000001">
      <c r="A33" s="4">
        <v>105</v>
      </c>
      <c r="B33" s="4" t="s">
        <v>212</v>
      </c>
      <c r="C33" s="5">
        <v>16.100000000000001</v>
      </c>
      <c r="D33" s="5">
        <v>16.2</v>
      </c>
      <c r="E33" s="5">
        <v>16.5</v>
      </c>
      <c r="F33" s="5">
        <v>2.5499999999999998</v>
      </c>
      <c r="G33" s="7">
        <v>0.18820000000000001</v>
      </c>
      <c r="H33" s="5">
        <v>64</v>
      </c>
      <c r="I33" s="5">
        <v>166</v>
      </c>
      <c r="J33" s="6">
        <v>0.29070000000000001</v>
      </c>
    </row>
    <row r="34" spans="1:11" ht="18.600000000000001">
      <c r="A34" s="4">
        <v>110</v>
      </c>
      <c r="B34" s="4" t="s">
        <v>213</v>
      </c>
      <c r="C34" s="5">
        <v>12.4</v>
      </c>
      <c r="D34" s="5">
        <v>12.5</v>
      </c>
      <c r="E34" s="5">
        <v>12.7</v>
      </c>
      <c r="F34" s="5">
        <v>2.5099999999999998</v>
      </c>
      <c r="G34" s="7">
        <v>0.25380000000000003</v>
      </c>
      <c r="H34" s="5">
        <v>161</v>
      </c>
      <c r="I34" s="5">
        <v>240</v>
      </c>
      <c r="J34" s="6">
        <v>0.27810000000000001</v>
      </c>
    </row>
    <row r="35" spans="1:11" ht="18.600000000000001">
      <c r="A35" s="4">
        <v>115</v>
      </c>
      <c r="B35" s="4" t="s">
        <v>214</v>
      </c>
      <c r="C35" s="5">
        <v>9.2899999999999991</v>
      </c>
      <c r="D35" s="5">
        <v>9.1999999999999993</v>
      </c>
      <c r="E35" s="5">
        <v>9.35</v>
      </c>
      <c r="F35" s="5">
        <v>2.25</v>
      </c>
      <c r="G35" s="7">
        <v>0.3196</v>
      </c>
      <c r="H35" s="5">
        <v>192</v>
      </c>
      <c r="I35" s="5">
        <v>477</v>
      </c>
      <c r="J35" s="6">
        <v>0.26640000000000003</v>
      </c>
    </row>
    <row r="36" spans="1:11" ht="18.600000000000001">
      <c r="A36" s="4">
        <v>120</v>
      </c>
      <c r="B36" s="4" t="s">
        <v>215</v>
      </c>
      <c r="C36" s="5">
        <v>6.6</v>
      </c>
      <c r="D36" s="5">
        <v>6.55</v>
      </c>
      <c r="E36" s="5">
        <v>6.65</v>
      </c>
      <c r="F36" s="5">
        <v>1.9</v>
      </c>
      <c r="G36" s="7">
        <v>0.40429999999999999</v>
      </c>
      <c r="H36" s="5">
        <v>4017</v>
      </c>
      <c r="I36" s="5">
        <v>954</v>
      </c>
      <c r="J36" s="6">
        <v>0.25979999999999998</v>
      </c>
    </row>
    <row r="37" spans="1:11" ht="18.600000000000001">
      <c r="A37" s="4">
        <v>125</v>
      </c>
      <c r="B37" s="4" t="s">
        <v>216</v>
      </c>
      <c r="C37" s="5">
        <v>4.3499999999999996</v>
      </c>
      <c r="D37" s="5">
        <v>4.3499999999999996</v>
      </c>
      <c r="E37" s="5">
        <v>4.45</v>
      </c>
      <c r="F37" s="5">
        <v>1.35</v>
      </c>
      <c r="G37" s="7">
        <v>0.45</v>
      </c>
      <c r="H37" s="5">
        <v>1144</v>
      </c>
      <c r="I37" s="5">
        <v>3015</v>
      </c>
      <c r="J37" s="6">
        <v>0.2515</v>
      </c>
    </row>
    <row r="38" spans="1:11" ht="18.600000000000001">
      <c r="A38" s="4">
        <v>130</v>
      </c>
      <c r="B38" s="4" t="s">
        <v>217</v>
      </c>
      <c r="C38" s="5">
        <v>2.82</v>
      </c>
      <c r="D38" s="5">
        <v>2.8</v>
      </c>
      <c r="E38" s="5">
        <v>2.85</v>
      </c>
      <c r="F38" s="5">
        <v>1.02</v>
      </c>
      <c r="G38" s="7">
        <v>0.56669999999999998</v>
      </c>
      <c r="H38" s="5">
        <v>1159</v>
      </c>
      <c r="I38" s="5">
        <v>1285</v>
      </c>
      <c r="J38" s="6">
        <v>0.24590000000000001</v>
      </c>
    </row>
    <row r="39" spans="1:11" ht="18.600000000000001">
      <c r="A39" s="4">
        <v>135</v>
      </c>
      <c r="B39" s="4" t="s">
        <v>218</v>
      </c>
      <c r="C39" s="5">
        <v>1.76</v>
      </c>
      <c r="D39" s="5">
        <v>1.69</v>
      </c>
      <c r="E39" s="5">
        <v>1.77</v>
      </c>
      <c r="F39" s="5">
        <v>0.73</v>
      </c>
      <c r="G39" s="7">
        <v>0.7087</v>
      </c>
      <c r="H39" s="5">
        <v>563</v>
      </c>
      <c r="I39" s="5">
        <v>496</v>
      </c>
      <c r="J39" s="6">
        <v>0.2429</v>
      </c>
    </row>
    <row r="40" spans="1:11" ht="18.600000000000001">
      <c r="A40" s="4">
        <v>140</v>
      </c>
      <c r="B40" s="4" t="s">
        <v>219</v>
      </c>
      <c r="C40" s="5">
        <v>0.99</v>
      </c>
      <c r="D40" s="5">
        <v>1.01</v>
      </c>
      <c r="E40" s="5">
        <v>1.08</v>
      </c>
      <c r="F40" s="5">
        <v>0.42</v>
      </c>
      <c r="G40" s="7">
        <v>0.73680000000000001</v>
      </c>
      <c r="H40" s="5">
        <v>173</v>
      </c>
      <c r="I40" s="5">
        <v>458</v>
      </c>
      <c r="J40" s="6">
        <v>0.24229999999999999</v>
      </c>
    </row>
    <row r="41" spans="1:11" ht="18.600000000000001">
      <c r="A41" s="4">
        <v>145</v>
      </c>
      <c r="B41" s="4" t="s">
        <v>220</v>
      </c>
      <c r="C41" s="5">
        <v>0.63</v>
      </c>
      <c r="D41" s="5">
        <v>0.62</v>
      </c>
      <c r="E41" s="5">
        <v>0.66</v>
      </c>
      <c r="F41" s="5">
        <v>0.23</v>
      </c>
      <c r="G41" s="7">
        <v>0.57499999999999996</v>
      </c>
      <c r="H41" s="5">
        <v>101</v>
      </c>
      <c r="I41" s="5">
        <v>130</v>
      </c>
      <c r="J41" s="6">
        <v>0.24390000000000001</v>
      </c>
    </row>
    <row r="42" spans="1:11" ht="18.600000000000001">
      <c r="A42" s="4">
        <v>150</v>
      </c>
      <c r="B42" s="4" t="s">
        <v>221</v>
      </c>
      <c r="C42" s="5">
        <v>0.39</v>
      </c>
      <c r="D42" s="5">
        <v>0.36</v>
      </c>
      <c r="E42" s="5">
        <v>0.45</v>
      </c>
      <c r="F42" s="5">
        <v>0.12</v>
      </c>
      <c r="G42" s="7">
        <v>0.44440000000000002</v>
      </c>
      <c r="H42" s="5">
        <v>77</v>
      </c>
      <c r="I42" s="5">
        <v>463</v>
      </c>
      <c r="J42" s="6">
        <v>0.252</v>
      </c>
    </row>
    <row r="44" spans="1:11" ht="18.600000000000001">
      <c r="A44" s="4">
        <v>90</v>
      </c>
      <c r="B44" s="4" t="s">
        <v>248</v>
      </c>
      <c r="C44" s="5">
        <v>29.15</v>
      </c>
      <c r="D44" s="5">
        <v>29.7</v>
      </c>
      <c r="E44" s="5">
        <v>30.05</v>
      </c>
      <c r="F44" s="5">
        <v>2.95</v>
      </c>
      <c r="G44" s="7">
        <v>0.11260000000000001</v>
      </c>
      <c r="H44" s="5">
        <v>37</v>
      </c>
      <c r="I44" s="5">
        <v>1485</v>
      </c>
      <c r="J44" s="6">
        <v>0.30640000000000001</v>
      </c>
      <c r="K44" t="s">
        <v>303</v>
      </c>
    </row>
    <row r="45" spans="1:11" ht="18.600000000000001">
      <c r="A45" s="4">
        <v>95</v>
      </c>
      <c r="B45" s="4" t="s">
        <v>249</v>
      </c>
      <c r="C45" s="5">
        <v>25.35</v>
      </c>
      <c r="D45" s="5">
        <v>25.25</v>
      </c>
      <c r="E45" s="5">
        <v>25.65</v>
      </c>
      <c r="F45" s="5">
        <v>3.65</v>
      </c>
      <c r="G45" s="7">
        <v>0.16819999999999999</v>
      </c>
      <c r="H45" s="5">
        <v>19</v>
      </c>
      <c r="I45" s="5">
        <v>1477</v>
      </c>
      <c r="J45" s="6">
        <v>0.30030000000000001</v>
      </c>
    </row>
    <row r="46" spans="1:11" ht="18.600000000000001">
      <c r="A46" s="4">
        <v>100</v>
      </c>
      <c r="B46" s="4" t="s">
        <v>250</v>
      </c>
      <c r="C46" s="5">
        <v>21.2</v>
      </c>
      <c r="D46" s="5">
        <v>21</v>
      </c>
      <c r="E46" s="5">
        <v>21.35</v>
      </c>
      <c r="F46" s="5">
        <v>2.9</v>
      </c>
      <c r="G46" s="7">
        <v>0.1585</v>
      </c>
      <c r="H46" s="5">
        <v>333</v>
      </c>
      <c r="I46" s="5">
        <v>6081</v>
      </c>
      <c r="J46" s="6">
        <v>0.28660000000000002</v>
      </c>
    </row>
    <row r="47" spans="1:11" ht="18.600000000000001">
      <c r="A47" s="4">
        <v>105</v>
      </c>
      <c r="B47" s="4" t="s">
        <v>251</v>
      </c>
      <c r="C47" s="5">
        <v>17.260000000000002</v>
      </c>
      <c r="D47" s="5">
        <v>17.149999999999999</v>
      </c>
      <c r="E47" s="5">
        <v>17.399999999999999</v>
      </c>
      <c r="F47" s="5">
        <v>2.66</v>
      </c>
      <c r="G47" s="7">
        <v>0.1822</v>
      </c>
      <c r="H47" s="5">
        <v>137</v>
      </c>
      <c r="I47" s="5">
        <v>4520</v>
      </c>
      <c r="J47" s="6">
        <v>0.2772</v>
      </c>
    </row>
    <row r="48" spans="1:11" ht="18.600000000000001">
      <c r="A48" s="4">
        <v>110</v>
      </c>
      <c r="B48" s="4" t="s">
        <v>252</v>
      </c>
      <c r="C48" s="5">
        <v>13.75</v>
      </c>
      <c r="D48" s="5">
        <v>13.65</v>
      </c>
      <c r="E48" s="5">
        <v>13.85</v>
      </c>
      <c r="F48" s="5">
        <v>2.4500000000000002</v>
      </c>
      <c r="G48" s="7">
        <v>0.21679999999999999</v>
      </c>
      <c r="H48" s="5">
        <v>649</v>
      </c>
      <c r="I48" s="5">
        <v>13324</v>
      </c>
      <c r="J48" s="6">
        <v>0.27</v>
      </c>
    </row>
    <row r="49" spans="1:11" ht="18.600000000000001">
      <c r="A49" s="4">
        <v>115</v>
      </c>
      <c r="B49" s="4" t="s">
        <v>253</v>
      </c>
      <c r="C49" s="5">
        <v>10.61</v>
      </c>
      <c r="D49" s="5">
        <v>10.5</v>
      </c>
      <c r="E49" s="5">
        <v>10.7</v>
      </c>
      <c r="F49" s="5">
        <v>2.11</v>
      </c>
      <c r="G49" s="7">
        <v>0.2482</v>
      </c>
      <c r="H49" s="5">
        <v>784</v>
      </c>
      <c r="I49" s="5">
        <v>21314</v>
      </c>
      <c r="J49" s="6">
        <v>0.2626</v>
      </c>
    </row>
    <row r="50" spans="1:11" ht="18.600000000000001">
      <c r="A50" s="4">
        <v>120</v>
      </c>
      <c r="B50" s="4" t="s">
        <v>254</v>
      </c>
      <c r="C50" s="5">
        <v>7.95</v>
      </c>
      <c r="D50" s="5">
        <v>7.85</v>
      </c>
      <c r="E50" s="5">
        <v>8.0500000000000007</v>
      </c>
      <c r="F50" s="5">
        <v>1.85</v>
      </c>
      <c r="G50" s="7">
        <v>0.30330000000000001</v>
      </c>
      <c r="H50" s="5">
        <v>2216</v>
      </c>
      <c r="I50" s="5">
        <v>23895</v>
      </c>
      <c r="J50" s="6">
        <v>0.25700000000000001</v>
      </c>
    </row>
    <row r="51" spans="1:11" ht="18.600000000000001">
      <c r="A51" s="4">
        <v>125</v>
      </c>
      <c r="B51" s="4" t="s">
        <v>255</v>
      </c>
      <c r="C51" s="5">
        <v>5.65</v>
      </c>
      <c r="D51" s="5">
        <v>5.6</v>
      </c>
      <c r="E51" s="5">
        <v>5.8</v>
      </c>
      <c r="F51" s="5">
        <v>1.4</v>
      </c>
      <c r="G51" s="7">
        <v>0.32940000000000003</v>
      </c>
      <c r="H51" s="5">
        <v>1095</v>
      </c>
      <c r="I51" s="5">
        <v>21025</v>
      </c>
      <c r="J51" s="6">
        <v>0.24970000000000001</v>
      </c>
    </row>
    <row r="52" spans="1:11" ht="18.600000000000001">
      <c r="A52" s="4">
        <v>130</v>
      </c>
      <c r="B52" s="4" t="s">
        <v>256</v>
      </c>
      <c r="C52" s="5">
        <v>4</v>
      </c>
      <c r="D52" s="5">
        <v>3.85</v>
      </c>
      <c r="E52" s="5">
        <v>4.05</v>
      </c>
      <c r="F52" s="5">
        <v>1.19</v>
      </c>
      <c r="G52" s="7">
        <v>0.42349999999999999</v>
      </c>
      <c r="H52" s="5">
        <v>1501</v>
      </c>
      <c r="I52" s="5">
        <v>16277</v>
      </c>
      <c r="J52" s="6">
        <v>0.24399999999999999</v>
      </c>
    </row>
    <row r="53" spans="1:11" ht="18.600000000000001">
      <c r="A53" s="4">
        <v>135</v>
      </c>
      <c r="B53" s="4" t="s">
        <v>257</v>
      </c>
      <c r="C53" s="5">
        <v>2.73</v>
      </c>
      <c r="D53" s="5">
        <v>2.6</v>
      </c>
      <c r="E53" s="5">
        <v>2.73</v>
      </c>
      <c r="F53" s="5">
        <v>0.85</v>
      </c>
      <c r="G53" s="7">
        <v>0.4521</v>
      </c>
      <c r="H53" s="5">
        <v>705</v>
      </c>
      <c r="I53" s="5">
        <v>7000</v>
      </c>
      <c r="J53" s="6">
        <v>0.23910000000000001</v>
      </c>
    </row>
    <row r="54" spans="1:11" ht="18.600000000000001">
      <c r="A54" s="4">
        <v>140</v>
      </c>
      <c r="B54" s="4" t="s">
        <v>258</v>
      </c>
      <c r="C54" s="5">
        <v>1.72</v>
      </c>
      <c r="D54" s="5">
        <v>1.68</v>
      </c>
      <c r="E54" s="5">
        <v>1.84</v>
      </c>
      <c r="F54" s="5">
        <v>0.52</v>
      </c>
      <c r="G54" s="7">
        <v>0.43330000000000002</v>
      </c>
      <c r="H54" s="5">
        <v>504</v>
      </c>
      <c r="I54" s="5">
        <v>6412</v>
      </c>
      <c r="J54" s="6">
        <v>0.23769999999999999</v>
      </c>
    </row>
    <row r="55" spans="1:11" ht="18.600000000000001">
      <c r="A55" s="4">
        <v>145</v>
      </c>
      <c r="B55" s="4" t="s">
        <v>259</v>
      </c>
      <c r="C55" s="5">
        <v>1.1000000000000001</v>
      </c>
      <c r="D55" s="5">
        <v>1.07</v>
      </c>
      <c r="E55" s="5">
        <v>1.23</v>
      </c>
      <c r="F55" s="5">
        <v>0.4</v>
      </c>
      <c r="G55" s="7">
        <v>0.57140000000000002</v>
      </c>
      <c r="H55" s="5">
        <v>196</v>
      </c>
      <c r="I55" s="5">
        <v>4253</v>
      </c>
      <c r="J55" s="6">
        <v>0.23760000000000001</v>
      </c>
    </row>
    <row r="56" spans="1:11" ht="18.600000000000001">
      <c r="A56" s="4">
        <v>150</v>
      </c>
      <c r="B56" s="4" t="s">
        <v>260</v>
      </c>
      <c r="C56" s="5">
        <v>0.75</v>
      </c>
      <c r="D56" s="5">
        <v>0.7</v>
      </c>
      <c r="E56" s="5">
        <v>0.82</v>
      </c>
      <c r="F56" s="5">
        <v>0.25</v>
      </c>
      <c r="G56" s="7">
        <v>0.5</v>
      </c>
      <c r="H56" s="5">
        <v>155</v>
      </c>
      <c r="I56" s="5">
        <v>38611</v>
      </c>
      <c r="J56" s="6">
        <v>0.2384</v>
      </c>
    </row>
    <row r="58" spans="1:11" ht="18.600000000000001">
      <c r="A58" s="4">
        <v>90</v>
      </c>
      <c r="B58" s="4" t="s">
        <v>23</v>
      </c>
      <c r="C58" s="5">
        <v>30.4</v>
      </c>
      <c r="D58" s="5">
        <v>30.15</v>
      </c>
      <c r="E58" s="5">
        <v>30.65</v>
      </c>
      <c r="F58" s="5">
        <v>4.0599999999999996</v>
      </c>
      <c r="G58" s="7">
        <v>0.15409999999999999</v>
      </c>
      <c r="H58" s="5">
        <v>30</v>
      </c>
      <c r="I58" s="5">
        <v>706</v>
      </c>
      <c r="J58" s="6">
        <v>0.30130000000000001</v>
      </c>
      <c r="K58" t="s">
        <v>304</v>
      </c>
    </row>
    <row r="59" spans="1:11" ht="18.600000000000001">
      <c r="A59" s="4">
        <v>95</v>
      </c>
      <c r="B59" s="4" t="s">
        <v>24</v>
      </c>
      <c r="C59" s="5">
        <v>26.2</v>
      </c>
      <c r="D59" s="5">
        <v>25.9</v>
      </c>
      <c r="E59" s="5">
        <v>26.4</v>
      </c>
      <c r="F59" s="5">
        <v>4.05</v>
      </c>
      <c r="G59" s="7">
        <v>0.18279999999999999</v>
      </c>
      <c r="H59" s="5">
        <v>25</v>
      </c>
      <c r="I59" s="5">
        <v>656</v>
      </c>
      <c r="J59" s="6">
        <v>0.29430000000000001</v>
      </c>
    </row>
    <row r="60" spans="1:11" ht="18.600000000000001">
      <c r="A60" s="4">
        <v>100</v>
      </c>
      <c r="B60" s="4" t="s">
        <v>25</v>
      </c>
      <c r="C60" s="5">
        <v>22</v>
      </c>
      <c r="D60" s="5">
        <v>21.95</v>
      </c>
      <c r="E60" s="5">
        <v>22.4</v>
      </c>
      <c r="F60" s="5">
        <v>2.7</v>
      </c>
      <c r="G60" s="7">
        <v>0.1399</v>
      </c>
      <c r="H60" s="5">
        <v>416</v>
      </c>
      <c r="I60" s="5">
        <v>5761</v>
      </c>
      <c r="J60" s="6">
        <v>0.28749999999999998</v>
      </c>
    </row>
    <row r="61" spans="1:11" ht="18.600000000000001">
      <c r="A61" s="4">
        <v>105</v>
      </c>
      <c r="B61" s="4" t="s">
        <v>26</v>
      </c>
      <c r="C61" s="5">
        <v>18.260000000000002</v>
      </c>
      <c r="D61" s="5">
        <v>18.25</v>
      </c>
      <c r="E61" s="5">
        <v>18.649999999999999</v>
      </c>
      <c r="F61" s="5">
        <v>2.86</v>
      </c>
      <c r="G61" s="7">
        <v>0.1857</v>
      </c>
      <c r="H61" s="5">
        <v>36</v>
      </c>
      <c r="I61" s="5">
        <v>2762</v>
      </c>
      <c r="J61" s="6">
        <v>0.2797</v>
      </c>
    </row>
    <row r="62" spans="1:11" ht="18.600000000000001">
      <c r="A62" s="4">
        <v>110</v>
      </c>
      <c r="B62" s="4" t="s">
        <v>27</v>
      </c>
      <c r="C62" s="5">
        <v>15</v>
      </c>
      <c r="D62" s="5">
        <v>14.95</v>
      </c>
      <c r="E62" s="5">
        <v>15.3</v>
      </c>
      <c r="F62" s="5">
        <v>2.33</v>
      </c>
      <c r="G62" s="7">
        <v>0.18390000000000001</v>
      </c>
      <c r="H62" s="5">
        <v>283</v>
      </c>
      <c r="I62" s="5">
        <v>20042</v>
      </c>
      <c r="J62" s="6">
        <v>0.2742</v>
      </c>
    </row>
    <row r="63" spans="1:11" ht="18.600000000000001">
      <c r="A63" s="4">
        <v>115</v>
      </c>
      <c r="B63" s="4" t="s">
        <v>28</v>
      </c>
      <c r="C63" s="5">
        <v>11.92</v>
      </c>
      <c r="D63" s="5">
        <v>11.95</v>
      </c>
      <c r="E63" s="5">
        <v>12.15</v>
      </c>
      <c r="F63" s="5">
        <v>1.85</v>
      </c>
      <c r="G63" s="7">
        <v>0.1837</v>
      </c>
      <c r="H63" s="5">
        <v>431</v>
      </c>
      <c r="I63" s="5">
        <v>7453</v>
      </c>
      <c r="J63" s="6">
        <v>0.26450000000000001</v>
      </c>
    </row>
    <row r="64" spans="1:11" ht="18.600000000000001">
      <c r="A64" s="4">
        <v>120</v>
      </c>
      <c r="B64" s="4" t="s">
        <v>29</v>
      </c>
      <c r="C64" s="5">
        <v>9.36</v>
      </c>
      <c r="D64" s="5">
        <v>9.3000000000000007</v>
      </c>
      <c r="E64" s="5">
        <v>9.5500000000000007</v>
      </c>
      <c r="F64" s="5">
        <v>1.76</v>
      </c>
      <c r="G64" s="7">
        <v>0.2316</v>
      </c>
      <c r="H64" s="5">
        <v>216</v>
      </c>
      <c r="I64" s="5">
        <v>9433</v>
      </c>
      <c r="J64" s="6">
        <v>0.2596</v>
      </c>
    </row>
    <row r="65" spans="1:10" ht="18.600000000000001">
      <c r="A65" s="4">
        <v>125</v>
      </c>
      <c r="B65" s="4" t="s">
        <v>30</v>
      </c>
      <c r="C65" s="5">
        <v>7.15</v>
      </c>
      <c r="D65" s="5">
        <v>7.05</v>
      </c>
      <c r="E65" s="5">
        <v>7.3</v>
      </c>
      <c r="F65" s="5">
        <v>1.45</v>
      </c>
      <c r="G65" s="7">
        <v>0.25440000000000002</v>
      </c>
      <c r="H65" s="5">
        <v>274</v>
      </c>
      <c r="I65" s="5">
        <v>8404</v>
      </c>
      <c r="J65" s="6">
        <v>0.25380000000000003</v>
      </c>
    </row>
    <row r="66" spans="1:10" ht="18.600000000000001">
      <c r="A66" s="4">
        <v>130</v>
      </c>
      <c r="B66" s="4" t="s">
        <v>31</v>
      </c>
      <c r="C66" s="5">
        <v>5.33</v>
      </c>
      <c r="D66" s="5">
        <v>5.2</v>
      </c>
      <c r="E66" s="5">
        <v>5.45</v>
      </c>
      <c r="F66" s="5">
        <v>1.22</v>
      </c>
      <c r="G66" s="7">
        <v>0.29680000000000001</v>
      </c>
      <c r="H66" s="5">
        <v>227</v>
      </c>
      <c r="I66" s="5">
        <v>8809</v>
      </c>
      <c r="J66" s="6">
        <v>0.24859999999999999</v>
      </c>
    </row>
    <row r="67" spans="1:10" ht="18.600000000000001">
      <c r="A67" s="4">
        <v>135</v>
      </c>
      <c r="B67" s="4" t="s">
        <v>32</v>
      </c>
      <c r="C67" s="5">
        <v>3.85</v>
      </c>
      <c r="D67" s="5">
        <v>3.75</v>
      </c>
      <c r="E67" s="5">
        <v>3.9</v>
      </c>
      <c r="F67" s="5">
        <v>0.95</v>
      </c>
      <c r="G67" s="7">
        <v>0.3276</v>
      </c>
      <c r="H67" s="5">
        <v>494</v>
      </c>
      <c r="I67" s="5">
        <v>7681</v>
      </c>
      <c r="J67" s="6">
        <v>0.2417</v>
      </c>
    </row>
    <row r="68" spans="1:10" ht="18.600000000000001">
      <c r="A68" s="4">
        <v>140</v>
      </c>
      <c r="B68" s="4" t="s">
        <v>33</v>
      </c>
      <c r="C68" s="5">
        <v>2.77</v>
      </c>
      <c r="D68" s="5">
        <v>2.67</v>
      </c>
      <c r="E68" s="5">
        <v>2.82</v>
      </c>
      <c r="F68" s="5">
        <v>0.81</v>
      </c>
      <c r="G68" s="7">
        <v>0.4133</v>
      </c>
      <c r="H68" s="5">
        <v>683</v>
      </c>
      <c r="I68" s="5">
        <v>47962</v>
      </c>
      <c r="J68" s="6">
        <v>0.23949999999999999</v>
      </c>
    </row>
    <row r="69" spans="1:10" ht="18.600000000000001">
      <c r="A69" s="4">
        <v>145</v>
      </c>
      <c r="B69" s="4" t="s">
        <v>34</v>
      </c>
      <c r="C69" s="5">
        <v>1.83</v>
      </c>
      <c r="D69" s="5">
        <v>1.82</v>
      </c>
      <c r="E69" s="5">
        <v>1.99</v>
      </c>
      <c r="F69" s="5">
        <v>0.46</v>
      </c>
      <c r="G69" s="7">
        <v>0.33579999999999999</v>
      </c>
      <c r="H69" s="5">
        <v>60</v>
      </c>
      <c r="I69" s="5">
        <v>4920</v>
      </c>
      <c r="J69" s="6">
        <v>0.23699999999999999</v>
      </c>
    </row>
    <row r="70" spans="1:10" ht="18.600000000000001">
      <c r="A70" s="4">
        <v>150</v>
      </c>
      <c r="B70" s="4" t="s">
        <v>35</v>
      </c>
      <c r="C70" s="5">
        <v>1.3</v>
      </c>
      <c r="D70" s="5">
        <v>1.24</v>
      </c>
      <c r="E70" s="5">
        <v>1.33</v>
      </c>
      <c r="F70" s="5">
        <v>0.31</v>
      </c>
      <c r="G70" s="7">
        <v>0.31309999999999999</v>
      </c>
      <c r="H70" s="5">
        <v>233</v>
      </c>
      <c r="I70" s="5">
        <v>14062</v>
      </c>
      <c r="J70" s="6">
        <v>0.2324</v>
      </c>
    </row>
  </sheetData>
  <hyperlinks>
    <hyperlink ref="A2" r:id="rId1" display="http://finance.yahoo.com/q/op?s=AAPL&amp;strike=90.00" xr:uid="{00000000-0004-0000-0600-000000000000}"/>
    <hyperlink ref="A3" r:id="rId2" display="http://finance.yahoo.com/q/op?s=AAPL&amp;strike=95.00" xr:uid="{00000000-0004-0000-0600-000001000000}"/>
    <hyperlink ref="A4" r:id="rId3" display="http://finance.yahoo.com/q/op?s=AAPL&amp;strike=100.00" xr:uid="{00000000-0004-0000-0600-000002000000}"/>
    <hyperlink ref="B4" r:id="rId4" xr:uid="{00000000-0004-0000-0600-000003000000}"/>
    <hyperlink ref="A5" r:id="rId5" display="http://finance.yahoo.com/q/op?s=AAPL&amp;strike=105.00" xr:uid="{00000000-0004-0000-0600-000004000000}"/>
    <hyperlink ref="B5" r:id="rId6" xr:uid="{00000000-0004-0000-0600-000005000000}"/>
    <hyperlink ref="A6" r:id="rId7" display="http://finance.yahoo.com/q/op?s=AAPL&amp;strike=110.00" xr:uid="{00000000-0004-0000-0600-000006000000}"/>
    <hyperlink ref="B6" r:id="rId8" xr:uid="{00000000-0004-0000-0600-000007000000}"/>
    <hyperlink ref="A7" r:id="rId9" display="http://finance.yahoo.com/q/op?s=AAPL&amp;strike=115.00" xr:uid="{00000000-0004-0000-0600-000008000000}"/>
    <hyperlink ref="B7" r:id="rId10" xr:uid="{00000000-0004-0000-0600-000009000000}"/>
    <hyperlink ref="A8" r:id="rId11" display="http://finance.yahoo.com/q/op?s=AAPL&amp;strike=120.00" xr:uid="{00000000-0004-0000-0600-00000A000000}"/>
    <hyperlink ref="B8" r:id="rId12" xr:uid="{00000000-0004-0000-0600-00000B000000}"/>
    <hyperlink ref="A9" r:id="rId13" display="http://finance.yahoo.com/q/op?s=AAPL&amp;strike=125.00" xr:uid="{00000000-0004-0000-0600-00000C000000}"/>
    <hyperlink ref="B9" r:id="rId14" xr:uid="{00000000-0004-0000-0600-00000D000000}"/>
    <hyperlink ref="A10" r:id="rId15" display="http://finance.yahoo.com/q/op?s=AAPL&amp;strike=130.00" xr:uid="{00000000-0004-0000-0600-00000E000000}"/>
    <hyperlink ref="B10" r:id="rId16" xr:uid="{00000000-0004-0000-0600-00000F000000}"/>
    <hyperlink ref="A11" r:id="rId17" display="http://finance.yahoo.com/q/op?s=AAPL&amp;strike=135.00" xr:uid="{00000000-0004-0000-0600-000010000000}"/>
    <hyperlink ref="B11" r:id="rId18" xr:uid="{00000000-0004-0000-0600-000011000000}"/>
    <hyperlink ref="A12" r:id="rId19" display="http://finance.yahoo.com/q/op?s=AAPL&amp;strike=140.00" xr:uid="{00000000-0004-0000-0600-000012000000}"/>
    <hyperlink ref="B12" r:id="rId20" xr:uid="{00000000-0004-0000-0600-000013000000}"/>
    <hyperlink ref="A13" r:id="rId21" display="http://finance.yahoo.com/q/op?s=AAPL&amp;strike=145.00" xr:uid="{00000000-0004-0000-0600-000014000000}"/>
    <hyperlink ref="B13" r:id="rId22" xr:uid="{00000000-0004-0000-0600-000015000000}"/>
    <hyperlink ref="A14" r:id="rId23" display="http://finance.yahoo.com/q/op?s=AAPL&amp;strike=150.00" xr:uid="{00000000-0004-0000-0600-000016000000}"/>
    <hyperlink ref="B14" r:id="rId24" xr:uid="{00000000-0004-0000-0600-000017000000}"/>
    <hyperlink ref="A16" r:id="rId25" display="http://finance.yahoo.com/q/op?s=AAPL&amp;strike=90.00" xr:uid="{00000000-0004-0000-0600-000018000000}"/>
    <hyperlink ref="B16" r:id="rId26" xr:uid="{00000000-0004-0000-0600-000019000000}"/>
    <hyperlink ref="A17" r:id="rId27" display="http://finance.yahoo.com/q/op?s=AAPL&amp;strike=95.00" xr:uid="{00000000-0004-0000-0600-00001A000000}"/>
    <hyperlink ref="B17" r:id="rId28" xr:uid="{00000000-0004-0000-0600-00001B000000}"/>
    <hyperlink ref="A18" r:id="rId29" display="http://finance.yahoo.com/q/op?s=AAPL&amp;strike=100.00" xr:uid="{00000000-0004-0000-0600-00001C000000}"/>
    <hyperlink ref="B18" r:id="rId30" xr:uid="{00000000-0004-0000-0600-00001D000000}"/>
    <hyperlink ref="A19" r:id="rId31" display="http://finance.yahoo.com/q/op?s=AAPL&amp;strike=105.00" xr:uid="{00000000-0004-0000-0600-00001E000000}"/>
    <hyperlink ref="B19" r:id="rId32" xr:uid="{00000000-0004-0000-0600-00001F000000}"/>
    <hyperlink ref="A20" r:id="rId33" display="http://finance.yahoo.com/q/op?s=AAPL&amp;strike=110.00" xr:uid="{00000000-0004-0000-0600-000020000000}"/>
    <hyperlink ref="B20" r:id="rId34" xr:uid="{00000000-0004-0000-0600-000021000000}"/>
    <hyperlink ref="A21" r:id="rId35" display="http://finance.yahoo.com/q/op?s=AAPL&amp;strike=115.00" xr:uid="{00000000-0004-0000-0600-000022000000}"/>
    <hyperlink ref="B21" r:id="rId36" xr:uid="{00000000-0004-0000-0600-000023000000}"/>
    <hyperlink ref="A22" r:id="rId37" display="http://finance.yahoo.com/q/op?s=AAPL&amp;strike=120.00" xr:uid="{00000000-0004-0000-0600-000024000000}"/>
    <hyperlink ref="B22" r:id="rId38" xr:uid="{00000000-0004-0000-0600-000025000000}"/>
    <hyperlink ref="A23" r:id="rId39" display="http://finance.yahoo.com/q/op?s=AAPL&amp;strike=125.00" xr:uid="{00000000-0004-0000-0600-000026000000}"/>
    <hyperlink ref="B23" r:id="rId40" xr:uid="{00000000-0004-0000-0600-000027000000}"/>
    <hyperlink ref="A24" r:id="rId41" display="http://finance.yahoo.com/q/op?s=AAPL&amp;strike=130.00" xr:uid="{00000000-0004-0000-0600-000028000000}"/>
    <hyperlink ref="B24" r:id="rId42" xr:uid="{00000000-0004-0000-0600-000029000000}"/>
    <hyperlink ref="A25" r:id="rId43" display="http://finance.yahoo.com/q/op?s=AAPL&amp;strike=135.00" xr:uid="{00000000-0004-0000-0600-00002A000000}"/>
    <hyperlink ref="B25" r:id="rId44" xr:uid="{00000000-0004-0000-0600-00002B000000}"/>
    <hyperlink ref="A26" r:id="rId45" display="http://finance.yahoo.com/q/op?s=AAPL&amp;strike=140.00" xr:uid="{00000000-0004-0000-0600-00002C000000}"/>
    <hyperlink ref="B26" r:id="rId46" xr:uid="{00000000-0004-0000-0600-00002D000000}"/>
    <hyperlink ref="A27" r:id="rId47" display="http://finance.yahoo.com/q/op?s=AAPL&amp;strike=145.00" xr:uid="{00000000-0004-0000-0600-00002E000000}"/>
    <hyperlink ref="B27" r:id="rId48" xr:uid="{00000000-0004-0000-0600-00002F000000}"/>
    <hyperlink ref="A28" r:id="rId49" display="http://finance.yahoo.com/q/op?s=AAPL&amp;strike=150.00" xr:uid="{00000000-0004-0000-0600-000030000000}"/>
    <hyperlink ref="B28" r:id="rId50" xr:uid="{00000000-0004-0000-0600-000031000000}"/>
    <hyperlink ref="A30" r:id="rId51" display="http://finance.yahoo.com/q/op?s=AAPL&amp;strike=90.00" xr:uid="{00000000-0004-0000-0600-000032000000}"/>
    <hyperlink ref="B30" r:id="rId52" xr:uid="{00000000-0004-0000-0600-000033000000}"/>
    <hyperlink ref="A31" r:id="rId53" display="http://finance.yahoo.com/q/op?s=AAPL&amp;strike=95.00" xr:uid="{00000000-0004-0000-0600-000034000000}"/>
    <hyperlink ref="B31" r:id="rId54" xr:uid="{00000000-0004-0000-0600-000035000000}"/>
    <hyperlink ref="A32" r:id="rId55" display="http://finance.yahoo.com/q/op?s=AAPL&amp;strike=100.00" xr:uid="{00000000-0004-0000-0600-000036000000}"/>
    <hyperlink ref="B32" r:id="rId56" xr:uid="{00000000-0004-0000-0600-000037000000}"/>
    <hyperlink ref="A33" r:id="rId57" display="http://finance.yahoo.com/q/op?s=AAPL&amp;strike=105.00" xr:uid="{00000000-0004-0000-0600-000038000000}"/>
    <hyperlink ref="B33" r:id="rId58" xr:uid="{00000000-0004-0000-0600-000039000000}"/>
    <hyperlink ref="A34" r:id="rId59" display="http://finance.yahoo.com/q/op?s=AAPL&amp;strike=110.00" xr:uid="{00000000-0004-0000-0600-00003A000000}"/>
    <hyperlink ref="B34" r:id="rId60" xr:uid="{00000000-0004-0000-0600-00003B000000}"/>
    <hyperlink ref="A35" r:id="rId61" display="http://finance.yahoo.com/q/op?s=AAPL&amp;strike=115.00" xr:uid="{00000000-0004-0000-0600-00003C000000}"/>
    <hyperlink ref="B35" r:id="rId62" xr:uid="{00000000-0004-0000-0600-00003D000000}"/>
    <hyperlink ref="A36" r:id="rId63" display="http://finance.yahoo.com/q/op?s=AAPL&amp;strike=120.00" xr:uid="{00000000-0004-0000-0600-00003E000000}"/>
    <hyperlink ref="B36" r:id="rId64" xr:uid="{00000000-0004-0000-0600-00003F000000}"/>
    <hyperlink ref="A37" r:id="rId65" display="http://finance.yahoo.com/q/op?s=AAPL&amp;strike=125.00" xr:uid="{00000000-0004-0000-0600-000040000000}"/>
    <hyperlink ref="B37" r:id="rId66" xr:uid="{00000000-0004-0000-0600-000041000000}"/>
    <hyperlink ref="A38" r:id="rId67" display="http://finance.yahoo.com/q/op?s=AAPL&amp;strike=130.00" xr:uid="{00000000-0004-0000-0600-000042000000}"/>
    <hyperlink ref="B38" r:id="rId68" xr:uid="{00000000-0004-0000-0600-000043000000}"/>
    <hyperlink ref="A39" r:id="rId69" display="http://finance.yahoo.com/q/op?s=AAPL&amp;strike=135.00" xr:uid="{00000000-0004-0000-0600-000044000000}"/>
    <hyperlink ref="B39" r:id="rId70" xr:uid="{00000000-0004-0000-0600-000045000000}"/>
    <hyperlink ref="A40" r:id="rId71" display="http://finance.yahoo.com/q/op?s=AAPL&amp;strike=140.00" xr:uid="{00000000-0004-0000-0600-000046000000}"/>
    <hyperlink ref="B40" r:id="rId72" xr:uid="{00000000-0004-0000-0600-000047000000}"/>
    <hyperlink ref="A41" r:id="rId73" display="http://finance.yahoo.com/q/op?s=AAPL&amp;strike=145.00" xr:uid="{00000000-0004-0000-0600-000048000000}"/>
    <hyperlink ref="B41" r:id="rId74" xr:uid="{00000000-0004-0000-0600-000049000000}"/>
    <hyperlink ref="A42" r:id="rId75" display="http://finance.yahoo.com/q/op?s=AAPL&amp;strike=150.00" xr:uid="{00000000-0004-0000-0600-00004A000000}"/>
    <hyperlink ref="B42" r:id="rId76" xr:uid="{00000000-0004-0000-0600-00004B000000}"/>
    <hyperlink ref="A44" r:id="rId77" display="http://finance.yahoo.com/q/op?s=AAPL&amp;strike=90.00" xr:uid="{00000000-0004-0000-0600-00004C000000}"/>
    <hyperlink ref="B44" r:id="rId78" xr:uid="{00000000-0004-0000-0600-00004D000000}"/>
    <hyperlink ref="A45" r:id="rId79" display="http://finance.yahoo.com/q/op?s=AAPL&amp;strike=95.00" xr:uid="{00000000-0004-0000-0600-00004E000000}"/>
    <hyperlink ref="B45" r:id="rId80" xr:uid="{00000000-0004-0000-0600-00004F000000}"/>
    <hyperlink ref="A46" r:id="rId81" display="http://finance.yahoo.com/q/op?s=AAPL&amp;strike=100.00" xr:uid="{00000000-0004-0000-0600-000050000000}"/>
    <hyperlink ref="B46" r:id="rId82" xr:uid="{00000000-0004-0000-0600-000051000000}"/>
    <hyperlink ref="A47" r:id="rId83" display="http://finance.yahoo.com/q/op?s=AAPL&amp;strike=105.00" xr:uid="{00000000-0004-0000-0600-000052000000}"/>
    <hyperlink ref="B47" r:id="rId84" xr:uid="{00000000-0004-0000-0600-000053000000}"/>
    <hyperlink ref="A48" r:id="rId85" display="http://finance.yahoo.com/q/op?s=AAPL&amp;strike=110.00" xr:uid="{00000000-0004-0000-0600-000054000000}"/>
    <hyperlink ref="B48" r:id="rId86" xr:uid="{00000000-0004-0000-0600-000055000000}"/>
    <hyperlink ref="A49" r:id="rId87" display="http://finance.yahoo.com/q/op?s=AAPL&amp;strike=115.00" xr:uid="{00000000-0004-0000-0600-000056000000}"/>
    <hyperlink ref="B49" r:id="rId88" xr:uid="{00000000-0004-0000-0600-000057000000}"/>
    <hyperlink ref="A50" r:id="rId89" display="http://finance.yahoo.com/q/op?s=AAPL&amp;strike=120.00" xr:uid="{00000000-0004-0000-0600-000058000000}"/>
    <hyperlink ref="B50" r:id="rId90" xr:uid="{00000000-0004-0000-0600-000059000000}"/>
    <hyperlink ref="A51" r:id="rId91" display="http://finance.yahoo.com/q/op?s=AAPL&amp;strike=125.00" xr:uid="{00000000-0004-0000-0600-00005A000000}"/>
    <hyperlink ref="B51" r:id="rId92" xr:uid="{00000000-0004-0000-0600-00005B000000}"/>
    <hyperlink ref="A52" r:id="rId93" display="http://finance.yahoo.com/q/op?s=AAPL&amp;strike=130.00" xr:uid="{00000000-0004-0000-0600-00005C000000}"/>
    <hyperlink ref="B52" r:id="rId94" xr:uid="{00000000-0004-0000-0600-00005D000000}"/>
    <hyperlink ref="A53" r:id="rId95" display="http://finance.yahoo.com/q/op?s=AAPL&amp;strike=135.00" xr:uid="{00000000-0004-0000-0600-00005E000000}"/>
    <hyperlink ref="B53" r:id="rId96" xr:uid="{00000000-0004-0000-0600-00005F000000}"/>
    <hyperlink ref="A54" r:id="rId97" display="http://finance.yahoo.com/q/op?s=AAPL&amp;strike=140.00" xr:uid="{00000000-0004-0000-0600-000060000000}"/>
    <hyperlink ref="B54" r:id="rId98" xr:uid="{00000000-0004-0000-0600-000061000000}"/>
    <hyperlink ref="A55" r:id="rId99" display="http://finance.yahoo.com/q/op?s=AAPL&amp;strike=145.00" xr:uid="{00000000-0004-0000-0600-000062000000}"/>
    <hyperlink ref="B55" r:id="rId100" xr:uid="{00000000-0004-0000-0600-000063000000}"/>
    <hyperlink ref="A56" r:id="rId101" display="http://finance.yahoo.com/q/op?s=AAPL&amp;strike=150.00" xr:uid="{00000000-0004-0000-0600-000064000000}"/>
    <hyperlink ref="B56" r:id="rId102" xr:uid="{00000000-0004-0000-0600-000065000000}"/>
    <hyperlink ref="A58" r:id="rId103" display="http://finance.yahoo.com/q/op?s=AAPL&amp;strike=90.00" xr:uid="{00000000-0004-0000-0600-000066000000}"/>
    <hyperlink ref="B58" r:id="rId104" xr:uid="{00000000-0004-0000-0600-000067000000}"/>
    <hyperlink ref="A59" r:id="rId105" display="http://finance.yahoo.com/q/op?s=AAPL&amp;strike=95.00" xr:uid="{00000000-0004-0000-0600-000068000000}"/>
    <hyperlink ref="B59" r:id="rId106" xr:uid="{00000000-0004-0000-0600-000069000000}"/>
    <hyperlink ref="A60" r:id="rId107" display="http://finance.yahoo.com/q/op?s=AAPL&amp;strike=100.00" xr:uid="{00000000-0004-0000-0600-00006A000000}"/>
    <hyperlink ref="B60" r:id="rId108" xr:uid="{00000000-0004-0000-0600-00006B000000}"/>
    <hyperlink ref="A61" r:id="rId109" display="http://finance.yahoo.com/q/op?s=AAPL&amp;strike=105.00" xr:uid="{00000000-0004-0000-0600-00006C000000}"/>
    <hyperlink ref="B61" r:id="rId110" xr:uid="{00000000-0004-0000-0600-00006D000000}"/>
    <hyperlink ref="A62" r:id="rId111" display="http://finance.yahoo.com/q/op?s=AAPL&amp;strike=110.00" xr:uid="{00000000-0004-0000-0600-00006E000000}"/>
    <hyperlink ref="B62" r:id="rId112" xr:uid="{00000000-0004-0000-0600-00006F000000}"/>
    <hyperlink ref="A63" r:id="rId113" display="http://finance.yahoo.com/q/op?s=AAPL&amp;strike=115.00" xr:uid="{00000000-0004-0000-0600-000070000000}"/>
    <hyperlink ref="B63" r:id="rId114" xr:uid="{00000000-0004-0000-0600-000071000000}"/>
    <hyperlink ref="A64" r:id="rId115" display="http://finance.yahoo.com/q/op?s=AAPL&amp;strike=120.00" xr:uid="{00000000-0004-0000-0600-000072000000}"/>
    <hyperlink ref="B64" r:id="rId116" xr:uid="{00000000-0004-0000-0600-000073000000}"/>
    <hyperlink ref="A65" r:id="rId117" display="http://finance.yahoo.com/q/op?s=AAPL&amp;strike=125.00" xr:uid="{00000000-0004-0000-0600-000074000000}"/>
    <hyperlink ref="B65" r:id="rId118" xr:uid="{00000000-0004-0000-0600-000075000000}"/>
    <hyperlink ref="A66" r:id="rId119" display="http://finance.yahoo.com/q/op?s=AAPL&amp;strike=130.00" xr:uid="{00000000-0004-0000-0600-000076000000}"/>
    <hyperlink ref="B66" r:id="rId120" xr:uid="{00000000-0004-0000-0600-000077000000}"/>
    <hyperlink ref="A67" r:id="rId121" display="http://finance.yahoo.com/q/op?s=AAPL&amp;strike=135.00" xr:uid="{00000000-0004-0000-0600-000078000000}"/>
    <hyperlink ref="B67" r:id="rId122" xr:uid="{00000000-0004-0000-0600-000079000000}"/>
    <hyperlink ref="A68" r:id="rId123" display="http://finance.yahoo.com/q/op?s=AAPL&amp;strike=140.00" xr:uid="{00000000-0004-0000-0600-00007A000000}"/>
    <hyperlink ref="B68" r:id="rId124" xr:uid="{00000000-0004-0000-0600-00007B000000}"/>
    <hyperlink ref="A69" r:id="rId125" display="http://finance.yahoo.com/q/op?s=AAPL&amp;strike=145.00" xr:uid="{00000000-0004-0000-0600-00007C000000}"/>
    <hyperlink ref="B69" r:id="rId126" xr:uid="{00000000-0004-0000-0600-00007D000000}"/>
    <hyperlink ref="A70" r:id="rId127" display="http://finance.yahoo.com/q/op?s=AAPL&amp;strike=150.00" xr:uid="{00000000-0004-0000-0600-00007E000000}"/>
    <hyperlink ref="B70" r:id="rId128" xr:uid="{00000000-0004-0000-0600-00007F000000}"/>
    <hyperlink ref="B2" r:id="rId129" xr:uid="{00000000-0004-0000-0600-000080000000}"/>
    <hyperlink ref="B3" r:id="rId130" xr:uid="{00000000-0004-0000-0600-000081000000}"/>
  </hyperlink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70"/>
  <sheetViews>
    <sheetView workbookViewId="0">
      <selection activeCell="I2" sqref="I2"/>
    </sheetView>
  </sheetViews>
  <sheetFormatPr defaultColWidth="8.8984375" defaultRowHeight="15.6"/>
  <cols>
    <col min="2" max="2" width="22.3984375" customWidth="1"/>
  </cols>
  <sheetData>
    <row r="1" spans="1:11"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</row>
    <row r="2" spans="1:11">
      <c r="A2">
        <v>90</v>
      </c>
      <c r="B2" t="s">
        <v>23</v>
      </c>
      <c r="C2">
        <v>30.4</v>
      </c>
      <c r="D2">
        <v>30.15</v>
      </c>
      <c r="E2">
        <v>30.65</v>
      </c>
      <c r="F2">
        <v>4.0599999999999996</v>
      </c>
      <c r="G2">
        <v>0.15409999999999999</v>
      </c>
      <c r="H2">
        <v>30</v>
      </c>
      <c r="I2">
        <v>706</v>
      </c>
      <c r="J2">
        <v>0.30130000000000001</v>
      </c>
      <c r="K2" t="s">
        <v>300</v>
      </c>
    </row>
    <row r="3" spans="1:11">
      <c r="A3">
        <v>95</v>
      </c>
      <c r="B3" t="s">
        <v>24</v>
      </c>
      <c r="C3">
        <v>26.2</v>
      </c>
      <c r="D3">
        <v>25.9</v>
      </c>
      <c r="E3">
        <v>26.4</v>
      </c>
      <c r="F3">
        <v>4.05</v>
      </c>
      <c r="G3">
        <v>0.18279999999999999</v>
      </c>
      <c r="H3">
        <v>25</v>
      </c>
      <c r="I3">
        <v>656</v>
      </c>
      <c r="J3">
        <v>0.29430000000000001</v>
      </c>
    </row>
    <row r="4" spans="1:11">
      <c r="A4">
        <v>100</v>
      </c>
      <c r="B4" t="s">
        <v>25</v>
      </c>
      <c r="C4">
        <v>22</v>
      </c>
      <c r="D4">
        <v>21.95</v>
      </c>
      <c r="E4">
        <v>22.4</v>
      </c>
      <c r="F4">
        <v>2.7</v>
      </c>
      <c r="G4">
        <v>0.1399</v>
      </c>
      <c r="H4">
        <v>416</v>
      </c>
      <c r="I4">
        <v>5761</v>
      </c>
      <c r="J4">
        <v>0.28749999999999998</v>
      </c>
    </row>
    <row r="5" spans="1:11">
      <c r="A5">
        <v>105</v>
      </c>
      <c r="B5" t="s">
        <v>26</v>
      </c>
      <c r="C5">
        <v>18.260000000000002</v>
      </c>
      <c r="D5">
        <v>18.25</v>
      </c>
      <c r="E5">
        <v>18.649999999999999</v>
      </c>
      <c r="F5">
        <v>2.86</v>
      </c>
      <c r="G5">
        <v>0.1857</v>
      </c>
      <c r="H5">
        <v>36</v>
      </c>
      <c r="I5">
        <v>2762</v>
      </c>
      <c r="J5">
        <v>0.2797</v>
      </c>
    </row>
    <row r="6" spans="1:11">
      <c r="A6">
        <v>110</v>
      </c>
      <c r="B6" t="s">
        <v>27</v>
      </c>
      <c r="C6">
        <v>15</v>
      </c>
      <c r="D6">
        <v>14.95</v>
      </c>
      <c r="E6">
        <v>15.3</v>
      </c>
      <c r="F6">
        <v>2.33</v>
      </c>
      <c r="G6">
        <v>0.18390000000000001</v>
      </c>
      <c r="H6">
        <v>283</v>
      </c>
      <c r="I6">
        <v>20042</v>
      </c>
      <c r="J6">
        <v>0.2742</v>
      </c>
    </row>
    <row r="7" spans="1:11">
      <c r="A7">
        <v>115</v>
      </c>
      <c r="B7" t="s">
        <v>28</v>
      </c>
      <c r="C7">
        <v>11.92</v>
      </c>
      <c r="D7">
        <v>11.95</v>
      </c>
      <c r="E7">
        <v>12.15</v>
      </c>
      <c r="F7">
        <v>1.85</v>
      </c>
      <c r="G7">
        <v>0.1837</v>
      </c>
      <c r="H7">
        <v>431</v>
      </c>
      <c r="I7">
        <v>7453</v>
      </c>
      <c r="J7">
        <v>0.26450000000000001</v>
      </c>
    </row>
    <row r="8" spans="1:11">
      <c r="A8">
        <v>120</v>
      </c>
      <c r="B8" t="s">
        <v>29</v>
      </c>
      <c r="C8">
        <v>9.36</v>
      </c>
      <c r="D8">
        <v>9.3000000000000007</v>
      </c>
      <c r="E8">
        <v>9.5500000000000007</v>
      </c>
      <c r="F8">
        <v>1.76</v>
      </c>
      <c r="G8">
        <v>0.2316</v>
      </c>
      <c r="H8">
        <v>216</v>
      </c>
      <c r="I8">
        <v>9433</v>
      </c>
      <c r="J8">
        <v>0.2596</v>
      </c>
    </row>
    <row r="9" spans="1:11">
      <c r="A9">
        <v>125</v>
      </c>
      <c r="B9" t="s">
        <v>30</v>
      </c>
      <c r="C9">
        <v>7.15</v>
      </c>
      <c r="D9">
        <v>7.05</v>
      </c>
      <c r="E9">
        <v>7.3</v>
      </c>
      <c r="F9">
        <v>1.45</v>
      </c>
      <c r="G9">
        <v>0.25440000000000002</v>
      </c>
      <c r="H9">
        <v>274</v>
      </c>
      <c r="I9">
        <v>8404</v>
      </c>
      <c r="J9">
        <v>0.25380000000000003</v>
      </c>
    </row>
    <row r="10" spans="1:11">
      <c r="A10">
        <v>130</v>
      </c>
      <c r="B10" t="s">
        <v>31</v>
      </c>
      <c r="C10">
        <v>5.33</v>
      </c>
      <c r="D10">
        <v>5.2</v>
      </c>
      <c r="E10">
        <v>5.45</v>
      </c>
      <c r="F10">
        <v>1.22</v>
      </c>
      <c r="G10">
        <v>0.29680000000000001</v>
      </c>
      <c r="H10">
        <v>227</v>
      </c>
      <c r="I10">
        <v>8809</v>
      </c>
      <c r="J10">
        <v>0.24859999999999999</v>
      </c>
    </row>
    <row r="11" spans="1:11">
      <c r="A11">
        <v>135</v>
      </c>
      <c r="B11" t="s">
        <v>32</v>
      </c>
      <c r="C11">
        <v>3.85</v>
      </c>
      <c r="D11">
        <v>3.75</v>
      </c>
      <c r="E11">
        <v>3.9</v>
      </c>
      <c r="F11">
        <v>0.95</v>
      </c>
      <c r="G11">
        <v>0.3276</v>
      </c>
      <c r="H11">
        <v>494</v>
      </c>
      <c r="I11">
        <v>7681</v>
      </c>
      <c r="J11">
        <v>0.2417</v>
      </c>
    </row>
    <row r="12" spans="1:11">
      <c r="A12">
        <v>140</v>
      </c>
      <c r="B12" t="s">
        <v>33</v>
      </c>
      <c r="C12">
        <v>2.77</v>
      </c>
      <c r="D12">
        <v>2.67</v>
      </c>
      <c r="E12">
        <v>2.82</v>
      </c>
      <c r="F12">
        <v>0.81</v>
      </c>
      <c r="G12">
        <v>0.4133</v>
      </c>
      <c r="H12">
        <v>683</v>
      </c>
      <c r="I12">
        <v>47962</v>
      </c>
      <c r="J12">
        <v>0.23949999999999999</v>
      </c>
    </row>
    <row r="13" spans="1:11">
      <c r="A13">
        <v>145</v>
      </c>
      <c r="B13" t="s">
        <v>34</v>
      </c>
      <c r="C13">
        <v>1.83</v>
      </c>
      <c r="D13">
        <v>1.82</v>
      </c>
      <c r="E13">
        <v>1.99</v>
      </c>
      <c r="F13">
        <v>0.46</v>
      </c>
      <c r="G13">
        <v>0.33579999999999999</v>
      </c>
      <c r="H13">
        <v>60</v>
      </c>
      <c r="I13">
        <v>4920</v>
      </c>
      <c r="J13">
        <v>0.23699999999999999</v>
      </c>
    </row>
    <row r="14" spans="1:11">
      <c r="A14">
        <v>150</v>
      </c>
      <c r="B14" t="s">
        <v>35</v>
      </c>
      <c r="C14">
        <v>1.3</v>
      </c>
      <c r="D14">
        <v>1.24</v>
      </c>
      <c r="E14">
        <v>1.33</v>
      </c>
      <c r="F14">
        <v>0.31</v>
      </c>
      <c r="G14">
        <v>0.31309999999999999</v>
      </c>
      <c r="H14">
        <v>233</v>
      </c>
      <c r="I14">
        <v>14062</v>
      </c>
      <c r="J14">
        <v>0.2324</v>
      </c>
    </row>
    <row r="16" spans="1:11">
      <c r="A16">
        <v>90</v>
      </c>
      <c r="B16" t="s">
        <v>156</v>
      </c>
      <c r="C16">
        <v>29.1</v>
      </c>
      <c r="D16">
        <v>29</v>
      </c>
      <c r="E16">
        <v>29.15</v>
      </c>
      <c r="F16">
        <v>3.4</v>
      </c>
      <c r="G16">
        <v>0.1323</v>
      </c>
      <c r="H16">
        <v>325</v>
      </c>
      <c r="I16">
        <v>1635</v>
      </c>
      <c r="J16">
        <v>0.32519999999999999</v>
      </c>
      <c r="K16" t="s">
        <v>301</v>
      </c>
    </row>
    <row r="17" spans="1:11">
      <c r="A17">
        <v>95</v>
      </c>
      <c r="B17" t="s">
        <v>157</v>
      </c>
      <c r="C17">
        <v>24.15</v>
      </c>
      <c r="D17">
        <v>24.05</v>
      </c>
      <c r="E17">
        <v>24.3</v>
      </c>
      <c r="F17">
        <v>4.0999999999999996</v>
      </c>
      <c r="G17">
        <v>0.20449999999999999</v>
      </c>
      <c r="H17">
        <v>248</v>
      </c>
      <c r="I17">
        <v>1651</v>
      </c>
      <c r="J17">
        <v>0.32569999999999999</v>
      </c>
    </row>
    <row r="18" spans="1:11">
      <c r="A18">
        <v>100</v>
      </c>
      <c r="B18" t="s">
        <v>158</v>
      </c>
      <c r="C18">
        <v>19.45</v>
      </c>
      <c r="D18">
        <v>19.3</v>
      </c>
      <c r="E18">
        <v>19.55</v>
      </c>
      <c r="F18">
        <v>3.38</v>
      </c>
      <c r="G18">
        <v>0.21029999999999999</v>
      </c>
      <c r="H18">
        <v>873</v>
      </c>
      <c r="I18">
        <v>3851</v>
      </c>
      <c r="J18">
        <v>0.311</v>
      </c>
    </row>
    <row r="19" spans="1:11">
      <c r="A19">
        <v>105</v>
      </c>
      <c r="B19" t="s">
        <v>159</v>
      </c>
      <c r="C19">
        <v>14.9</v>
      </c>
      <c r="D19">
        <v>14.75</v>
      </c>
      <c r="E19">
        <v>14.9</v>
      </c>
      <c r="F19">
        <v>3.07</v>
      </c>
      <c r="G19">
        <v>0.25950000000000001</v>
      </c>
      <c r="H19">
        <v>682</v>
      </c>
      <c r="I19">
        <v>6888</v>
      </c>
      <c r="J19">
        <v>0.2833</v>
      </c>
    </row>
    <row r="20" spans="1:11">
      <c r="A20">
        <v>110</v>
      </c>
      <c r="B20" t="s">
        <v>160</v>
      </c>
      <c r="C20">
        <v>10.7</v>
      </c>
      <c r="D20">
        <v>10.6</v>
      </c>
      <c r="E20">
        <v>10.7</v>
      </c>
      <c r="F20">
        <v>2.8</v>
      </c>
      <c r="G20">
        <v>0.35439999999999999</v>
      </c>
      <c r="H20">
        <v>6062</v>
      </c>
      <c r="I20">
        <v>13522</v>
      </c>
      <c r="J20">
        <v>0.27</v>
      </c>
    </row>
    <row r="21" spans="1:11">
      <c r="A21">
        <v>115</v>
      </c>
      <c r="B21" t="s">
        <v>161</v>
      </c>
      <c r="C21">
        <v>7.05</v>
      </c>
      <c r="D21">
        <v>7</v>
      </c>
      <c r="E21">
        <v>7.1</v>
      </c>
      <c r="F21">
        <v>2.35</v>
      </c>
      <c r="G21">
        <v>0.5</v>
      </c>
      <c r="H21">
        <v>4294</v>
      </c>
      <c r="I21">
        <v>43774</v>
      </c>
      <c r="J21">
        <v>0.25940000000000002</v>
      </c>
    </row>
    <row r="22" spans="1:11">
      <c r="A22">
        <v>120</v>
      </c>
      <c r="B22" t="s">
        <v>162</v>
      </c>
      <c r="C22">
        <v>4.2</v>
      </c>
      <c r="D22">
        <v>4.1500000000000004</v>
      </c>
      <c r="E22">
        <v>4.2</v>
      </c>
      <c r="F22">
        <v>1.76</v>
      </c>
      <c r="G22">
        <v>0.72130000000000005</v>
      </c>
      <c r="H22">
        <v>10879</v>
      </c>
      <c r="I22">
        <v>32834</v>
      </c>
      <c r="J22">
        <v>0.24660000000000001</v>
      </c>
    </row>
    <row r="23" spans="1:11">
      <c r="A23">
        <v>125</v>
      </c>
      <c r="B23" t="s">
        <v>163</v>
      </c>
      <c r="C23">
        <v>2.2000000000000002</v>
      </c>
      <c r="D23">
        <v>2.19</v>
      </c>
      <c r="E23">
        <v>2.2000000000000002</v>
      </c>
      <c r="F23">
        <v>1.1299999999999999</v>
      </c>
      <c r="G23">
        <v>1.0561</v>
      </c>
      <c r="H23">
        <v>10835</v>
      </c>
      <c r="I23">
        <v>28820</v>
      </c>
      <c r="J23">
        <v>0.23719999999999999</v>
      </c>
    </row>
    <row r="24" spans="1:11">
      <c r="A24">
        <v>130</v>
      </c>
      <c r="B24" t="s">
        <v>164</v>
      </c>
      <c r="C24">
        <v>1.06</v>
      </c>
      <c r="D24">
        <v>1.06</v>
      </c>
      <c r="E24">
        <v>1.08</v>
      </c>
      <c r="F24">
        <v>0.64</v>
      </c>
      <c r="G24">
        <v>1.5238</v>
      </c>
      <c r="H24">
        <v>13173</v>
      </c>
      <c r="I24">
        <v>33641</v>
      </c>
      <c r="J24">
        <v>0.23599999999999999</v>
      </c>
    </row>
    <row r="25" spans="1:11">
      <c r="A25">
        <v>135</v>
      </c>
      <c r="B25" t="s">
        <v>165</v>
      </c>
      <c r="C25">
        <v>0.49</v>
      </c>
      <c r="D25">
        <v>0.48</v>
      </c>
      <c r="E25">
        <v>0.5</v>
      </c>
      <c r="F25">
        <v>0.28999999999999998</v>
      </c>
      <c r="G25">
        <v>1.45</v>
      </c>
      <c r="H25">
        <v>4356</v>
      </c>
      <c r="I25">
        <v>18430</v>
      </c>
      <c r="J25">
        <v>0.23760000000000001</v>
      </c>
    </row>
    <row r="26" spans="1:11">
      <c r="A26">
        <v>140</v>
      </c>
      <c r="B26" t="s">
        <v>166</v>
      </c>
      <c r="C26">
        <v>0.25</v>
      </c>
      <c r="D26">
        <v>0.22</v>
      </c>
      <c r="E26">
        <v>0.25</v>
      </c>
      <c r="F26">
        <v>0.14000000000000001</v>
      </c>
      <c r="G26">
        <v>1.2726999999999999</v>
      </c>
      <c r="H26">
        <v>386</v>
      </c>
      <c r="I26">
        <v>32253</v>
      </c>
      <c r="J26">
        <v>0.24610000000000001</v>
      </c>
    </row>
    <row r="27" spans="1:11">
      <c r="A27">
        <v>145</v>
      </c>
      <c r="B27" t="s">
        <v>167</v>
      </c>
      <c r="C27">
        <v>0.12</v>
      </c>
      <c r="D27">
        <v>0.11</v>
      </c>
      <c r="E27">
        <v>0.14000000000000001</v>
      </c>
      <c r="F27">
        <v>0.05</v>
      </c>
      <c r="G27">
        <v>0.71430000000000005</v>
      </c>
      <c r="H27">
        <v>664</v>
      </c>
      <c r="I27">
        <v>5644</v>
      </c>
      <c r="J27">
        <v>0.25929999999999997</v>
      </c>
    </row>
    <row r="28" spans="1:11">
      <c r="A28">
        <v>150</v>
      </c>
      <c r="B28" t="s">
        <v>168</v>
      </c>
      <c r="C28">
        <v>7.0000000000000007E-2</v>
      </c>
      <c r="D28">
        <v>7.0000000000000007E-2</v>
      </c>
      <c r="E28">
        <v>0.09</v>
      </c>
      <c r="F28">
        <v>0.01</v>
      </c>
      <c r="G28">
        <v>0.16669999999999999</v>
      </c>
      <c r="H28">
        <v>26</v>
      </c>
      <c r="I28">
        <v>4385</v>
      </c>
      <c r="J28">
        <v>0.27639999999999998</v>
      </c>
    </row>
    <row r="30" spans="1:11">
      <c r="A30">
        <v>90</v>
      </c>
      <c r="B30" t="s">
        <v>209</v>
      </c>
      <c r="C30">
        <v>29.05</v>
      </c>
      <c r="D30">
        <v>29.35</v>
      </c>
      <c r="E30">
        <v>29.7</v>
      </c>
      <c r="F30">
        <v>3.18</v>
      </c>
      <c r="G30">
        <v>0.1229</v>
      </c>
      <c r="H30">
        <v>4</v>
      </c>
      <c r="I30">
        <v>4</v>
      </c>
      <c r="J30">
        <v>0.33229999999999998</v>
      </c>
      <c r="K30" t="s">
        <v>302</v>
      </c>
    </row>
    <row r="31" spans="1:11">
      <c r="A31">
        <v>95</v>
      </c>
      <c r="B31" t="s">
        <v>210</v>
      </c>
      <c r="C31">
        <v>24.88</v>
      </c>
      <c r="D31">
        <v>24.75</v>
      </c>
      <c r="E31">
        <v>25.05</v>
      </c>
      <c r="F31">
        <v>3.33</v>
      </c>
      <c r="G31">
        <v>0.1545</v>
      </c>
      <c r="H31">
        <v>13</v>
      </c>
      <c r="I31">
        <v>6</v>
      </c>
      <c r="J31">
        <v>0.31490000000000001</v>
      </c>
    </row>
    <row r="32" spans="1:11">
      <c r="A32">
        <v>100</v>
      </c>
      <c r="B32" t="s">
        <v>211</v>
      </c>
      <c r="C32">
        <v>20.440000000000001</v>
      </c>
      <c r="D32">
        <v>20.350000000000001</v>
      </c>
      <c r="E32">
        <v>20.6</v>
      </c>
      <c r="F32">
        <v>4.1399999999999997</v>
      </c>
      <c r="G32">
        <v>0.254</v>
      </c>
      <c r="H32">
        <v>44</v>
      </c>
      <c r="I32">
        <v>101</v>
      </c>
      <c r="J32">
        <v>0.30009999999999998</v>
      </c>
    </row>
    <row r="33" spans="1:11">
      <c r="A33">
        <v>105</v>
      </c>
      <c r="B33" t="s">
        <v>212</v>
      </c>
      <c r="C33">
        <v>16.100000000000001</v>
      </c>
      <c r="D33">
        <v>16.2</v>
      </c>
      <c r="E33">
        <v>16.5</v>
      </c>
      <c r="F33">
        <v>2.5499999999999998</v>
      </c>
      <c r="G33">
        <v>0.18820000000000001</v>
      </c>
      <c r="H33">
        <v>64</v>
      </c>
      <c r="I33">
        <v>166</v>
      </c>
      <c r="J33">
        <v>0.29070000000000001</v>
      </c>
    </row>
    <row r="34" spans="1:11">
      <c r="A34">
        <v>110</v>
      </c>
      <c r="B34" t="s">
        <v>213</v>
      </c>
      <c r="C34">
        <v>12.4</v>
      </c>
      <c r="D34">
        <v>12.5</v>
      </c>
      <c r="E34">
        <v>12.7</v>
      </c>
      <c r="F34">
        <v>2.5099999999999998</v>
      </c>
      <c r="G34">
        <v>0.25380000000000003</v>
      </c>
      <c r="H34">
        <v>161</v>
      </c>
      <c r="I34">
        <v>240</v>
      </c>
      <c r="J34">
        <v>0.27810000000000001</v>
      </c>
    </row>
    <row r="35" spans="1:11">
      <c r="A35">
        <v>115</v>
      </c>
      <c r="B35" t="s">
        <v>214</v>
      </c>
      <c r="C35">
        <v>9.2899999999999991</v>
      </c>
      <c r="D35">
        <v>9.1999999999999993</v>
      </c>
      <c r="E35">
        <v>9.35</v>
      </c>
      <c r="F35">
        <v>2.25</v>
      </c>
      <c r="G35">
        <v>0.3196</v>
      </c>
      <c r="H35">
        <v>192</v>
      </c>
      <c r="I35">
        <v>477</v>
      </c>
      <c r="J35">
        <v>0.26640000000000003</v>
      </c>
    </row>
    <row r="36" spans="1:11">
      <c r="A36">
        <v>120</v>
      </c>
      <c r="B36" t="s">
        <v>215</v>
      </c>
      <c r="C36">
        <v>6.6</v>
      </c>
      <c r="D36">
        <v>6.55</v>
      </c>
      <c r="E36">
        <v>6.65</v>
      </c>
      <c r="F36">
        <v>1.9</v>
      </c>
      <c r="G36">
        <v>0.40429999999999999</v>
      </c>
      <c r="H36">
        <v>4017</v>
      </c>
      <c r="I36">
        <v>954</v>
      </c>
      <c r="J36">
        <v>0.25979999999999998</v>
      </c>
    </row>
    <row r="37" spans="1:11">
      <c r="A37">
        <v>125</v>
      </c>
      <c r="B37" t="s">
        <v>216</v>
      </c>
      <c r="C37">
        <v>4.3499999999999996</v>
      </c>
      <c r="D37">
        <v>4.3499999999999996</v>
      </c>
      <c r="E37">
        <v>4.45</v>
      </c>
      <c r="F37">
        <v>1.35</v>
      </c>
      <c r="G37">
        <v>0.45</v>
      </c>
      <c r="H37">
        <v>1144</v>
      </c>
      <c r="I37">
        <v>3015</v>
      </c>
      <c r="J37">
        <v>0.2515</v>
      </c>
    </row>
    <row r="38" spans="1:11">
      <c r="A38">
        <v>130</v>
      </c>
      <c r="B38" t="s">
        <v>217</v>
      </c>
      <c r="C38">
        <v>2.82</v>
      </c>
      <c r="D38">
        <v>2.8</v>
      </c>
      <c r="E38">
        <v>2.85</v>
      </c>
      <c r="F38">
        <v>1.02</v>
      </c>
      <c r="G38">
        <v>0.56669999999999998</v>
      </c>
      <c r="H38">
        <v>1159</v>
      </c>
      <c r="I38">
        <v>1285</v>
      </c>
      <c r="J38">
        <v>0.24590000000000001</v>
      </c>
    </row>
    <row r="39" spans="1:11">
      <c r="A39">
        <v>135</v>
      </c>
      <c r="B39" t="s">
        <v>218</v>
      </c>
      <c r="C39">
        <v>1.76</v>
      </c>
      <c r="D39">
        <v>1.69</v>
      </c>
      <c r="E39">
        <v>1.77</v>
      </c>
      <c r="F39">
        <v>0.73</v>
      </c>
      <c r="G39">
        <v>0.7087</v>
      </c>
      <c r="H39">
        <v>563</v>
      </c>
      <c r="I39">
        <v>496</v>
      </c>
      <c r="J39">
        <v>0.2429</v>
      </c>
    </row>
    <row r="40" spans="1:11">
      <c r="A40">
        <v>140</v>
      </c>
      <c r="B40" t="s">
        <v>219</v>
      </c>
      <c r="C40">
        <v>0.99</v>
      </c>
      <c r="D40">
        <v>1.01</v>
      </c>
      <c r="E40">
        <v>1.08</v>
      </c>
      <c r="F40">
        <v>0.42</v>
      </c>
      <c r="G40">
        <v>0.73680000000000001</v>
      </c>
      <c r="H40">
        <v>173</v>
      </c>
      <c r="I40">
        <v>458</v>
      </c>
      <c r="J40">
        <v>0.24229999999999999</v>
      </c>
    </row>
    <row r="41" spans="1:11">
      <c r="A41">
        <v>145</v>
      </c>
      <c r="B41" t="s">
        <v>220</v>
      </c>
      <c r="C41">
        <v>0.63</v>
      </c>
      <c r="D41">
        <v>0.62</v>
      </c>
      <c r="E41">
        <v>0.66</v>
      </c>
      <c r="F41">
        <v>0.23</v>
      </c>
      <c r="G41">
        <v>0.57499999999999996</v>
      </c>
      <c r="H41">
        <v>101</v>
      </c>
      <c r="I41">
        <v>130</v>
      </c>
      <c r="J41">
        <v>0.24390000000000001</v>
      </c>
    </row>
    <row r="42" spans="1:11">
      <c r="A42">
        <v>150</v>
      </c>
      <c r="B42" t="s">
        <v>221</v>
      </c>
      <c r="C42">
        <v>0.39</v>
      </c>
      <c r="D42">
        <v>0.36</v>
      </c>
      <c r="E42">
        <v>0.45</v>
      </c>
      <c r="F42">
        <v>0.12</v>
      </c>
      <c r="G42">
        <v>0.44440000000000002</v>
      </c>
      <c r="H42">
        <v>77</v>
      </c>
      <c r="I42">
        <v>463</v>
      </c>
      <c r="J42">
        <v>0.252</v>
      </c>
    </row>
    <row r="44" spans="1:11">
      <c r="A44">
        <v>90</v>
      </c>
      <c r="B44" t="s">
        <v>248</v>
      </c>
      <c r="C44">
        <v>29.15</v>
      </c>
      <c r="D44">
        <v>29.7</v>
      </c>
      <c r="E44">
        <v>30.05</v>
      </c>
      <c r="F44">
        <v>2.95</v>
      </c>
      <c r="G44">
        <v>0.11260000000000001</v>
      </c>
      <c r="H44">
        <v>37</v>
      </c>
      <c r="I44">
        <v>1485</v>
      </c>
      <c r="J44">
        <v>0.30640000000000001</v>
      </c>
      <c r="K44" t="s">
        <v>303</v>
      </c>
    </row>
    <row r="45" spans="1:11">
      <c r="A45">
        <v>95</v>
      </c>
      <c r="B45" t="s">
        <v>249</v>
      </c>
      <c r="C45">
        <v>25.35</v>
      </c>
      <c r="D45">
        <v>25.25</v>
      </c>
      <c r="E45">
        <v>25.65</v>
      </c>
      <c r="F45">
        <v>3.65</v>
      </c>
      <c r="G45">
        <v>0.16819999999999999</v>
      </c>
      <c r="H45">
        <v>19</v>
      </c>
      <c r="I45">
        <v>1477</v>
      </c>
      <c r="J45">
        <v>0.30030000000000001</v>
      </c>
    </row>
    <row r="46" spans="1:11">
      <c r="A46">
        <v>100</v>
      </c>
      <c r="B46" t="s">
        <v>250</v>
      </c>
      <c r="C46">
        <v>21.2</v>
      </c>
      <c r="D46">
        <v>21</v>
      </c>
      <c r="E46">
        <v>21.35</v>
      </c>
      <c r="F46">
        <v>2.9</v>
      </c>
      <c r="G46">
        <v>0.1585</v>
      </c>
      <c r="H46">
        <v>333</v>
      </c>
      <c r="I46">
        <v>6081</v>
      </c>
      <c r="J46">
        <v>0.28660000000000002</v>
      </c>
    </row>
    <row r="47" spans="1:11">
      <c r="A47">
        <v>105</v>
      </c>
      <c r="B47" t="s">
        <v>251</v>
      </c>
      <c r="C47">
        <v>17.260000000000002</v>
      </c>
      <c r="D47">
        <v>17.149999999999999</v>
      </c>
      <c r="E47">
        <v>17.399999999999999</v>
      </c>
      <c r="F47">
        <v>2.66</v>
      </c>
      <c r="G47">
        <v>0.1822</v>
      </c>
      <c r="H47">
        <v>137</v>
      </c>
      <c r="I47">
        <v>4520</v>
      </c>
      <c r="J47">
        <v>0.2772</v>
      </c>
    </row>
    <row r="48" spans="1:11">
      <c r="A48">
        <v>110</v>
      </c>
      <c r="B48" t="s">
        <v>252</v>
      </c>
      <c r="C48">
        <v>13.75</v>
      </c>
      <c r="D48">
        <v>13.65</v>
      </c>
      <c r="E48">
        <v>13.85</v>
      </c>
      <c r="F48">
        <v>2.4500000000000002</v>
      </c>
      <c r="G48">
        <v>0.21679999999999999</v>
      </c>
      <c r="H48">
        <v>649</v>
      </c>
      <c r="I48">
        <v>13324</v>
      </c>
      <c r="J48">
        <v>0.27</v>
      </c>
    </row>
    <row r="49" spans="1:11">
      <c r="A49">
        <v>115</v>
      </c>
      <c r="B49" t="s">
        <v>253</v>
      </c>
      <c r="C49">
        <v>10.61</v>
      </c>
      <c r="D49">
        <v>10.5</v>
      </c>
      <c r="E49">
        <v>10.7</v>
      </c>
      <c r="F49">
        <v>2.11</v>
      </c>
      <c r="G49">
        <v>0.2482</v>
      </c>
      <c r="H49">
        <v>784</v>
      </c>
      <c r="I49">
        <v>21314</v>
      </c>
      <c r="J49">
        <v>0.2626</v>
      </c>
    </row>
    <row r="50" spans="1:11">
      <c r="A50">
        <v>120</v>
      </c>
      <c r="B50" t="s">
        <v>254</v>
      </c>
      <c r="C50">
        <v>7.95</v>
      </c>
      <c r="D50">
        <v>7.85</v>
      </c>
      <c r="E50">
        <v>8.0500000000000007</v>
      </c>
      <c r="F50">
        <v>1.85</v>
      </c>
      <c r="G50">
        <v>0.30330000000000001</v>
      </c>
      <c r="H50">
        <v>2216</v>
      </c>
      <c r="I50">
        <v>23895</v>
      </c>
      <c r="J50">
        <v>0.25700000000000001</v>
      </c>
    </row>
    <row r="51" spans="1:11">
      <c r="A51">
        <v>125</v>
      </c>
      <c r="B51" t="s">
        <v>255</v>
      </c>
      <c r="C51">
        <v>5.65</v>
      </c>
      <c r="D51">
        <v>5.6</v>
      </c>
      <c r="E51">
        <v>5.8</v>
      </c>
      <c r="F51">
        <v>1.4</v>
      </c>
      <c r="G51">
        <v>0.32940000000000003</v>
      </c>
      <c r="H51">
        <v>1095</v>
      </c>
      <c r="I51">
        <v>21025</v>
      </c>
      <c r="J51">
        <v>0.24970000000000001</v>
      </c>
    </row>
    <row r="52" spans="1:11">
      <c r="A52">
        <v>130</v>
      </c>
      <c r="B52" t="s">
        <v>256</v>
      </c>
      <c r="C52">
        <v>4</v>
      </c>
      <c r="D52">
        <v>3.85</v>
      </c>
      <c r="E52">
        <v>4.05</v>
      </c>
      <c r="F52">
        <v>1.19</v>
      </c>
      <c r="G52">
        <v>0.42349999999999999</v>
      </c>
      <c r="H52">
        <v>1501</v>
      </c>
      <c r="I52">
        <v>16277</v>
      </c>
      <c r="J52">
        <v>0.24399999999999999</v>
      </c>
    </row>
    <row r="53" spans="1:11">
      <c r="A53">
        <v>135</v>
      </c>
      <c r="B53" t="s">
        <v>257</v>
      </c>
      <c r="C53">
        <v>2.73</v>
      </c>
      <c r="D53">
        <v>2.6</v>
      </c>
      <c r="E53">
        <v>2.73</v>
      </c>
      <c r="F53">
        <v>0.85</v>
      </c>
      <c r="G53">
        <v>0.4521</v>
      </c>
      <c r="H53">
        <v>705</v>
      </c>
      <c r="I53">
        <v>7000</v>
      </c>
      <c r="J53">
        <v>0.23910000000000001</v>
      </c>
    </row>
    <row r="54" spans="1:11">
      <c r="A54">
        <v>140</v>
      </c>
      <c r="B54" t="s">
        <v>258</v>
      </c>
      <c r="C54">
        <v>1.72</v>
      </c>
      <c r="D54">
        <v>1.68</v>
      </c>
      <c r="E54">
        <v>1.84</v>
      </c>
      <c r="F54">
        <v>0.52</v>
      </c>
      <c r="G54">
        <v>0.43330000000000002</v>
      </c>
      <c r="H54">
        <v>504</v>
      </c>
      <c r="I54">
        <v>6412</v>
      </c>
      <c r="J54">
        <v>0.23769999999999999</v>
      </c>
    </row>
    <row r="55" spans="1:11">
      <c r="A55">
        <v>145</v>
      </c>
      <c r="B55" t="s">
        <v>259</v>
      </c>
      <c r="C55">
        <v>1.1000000000000001</v>
      </c>
      <c r="D55">
        <v>1.07</v>
      </c>
      <c r="E55">
        <v>1.23</v>
      </c>
      <c r="F55">
        <v>0.4</v>
      </c>
      <c r="G55">
        <v>0.57140000000000002</v>
      </c>
      <c r="H55">
        <v>196</v>
      </c>
      <c r="I55">
        <v>4253</v>
      </c>
      <c r="J55">
        <v>0.23760000000000001</v>
      </c>
    </row>
    <row r="56" spans="1:11">
      <c r="A56">
        <v>150</v>
      </c>
      <c r="B56" t="s">
        <v>260</v>
      </c>
      <c r="C56">
        <v>0.75</v>
      </c>
      <c r="D56">
        <v>0.7</v>
      </c>
      <c r="E56">
        <v>0.82</v>
      </c>
      <c r="F56">
        <v>0.25</v>
      </c>
      <c r="G56">
        <v>0.5</v>
      </c>
      <c r="H56">
        <v>155</v>
      </c>
      <c r="I56">
        <v>38611</v>
      </c>
      <c r="J56">
        <v>0.2384</v>
      </c>
    </row>
    <row r="58" spans="1:11">
      <c r="A58">
        <v>90</v>
      </c>
      <c r="B58" t="s">
        <v>23</v>
      </c>
      <c r="C58">
        <v>30.4</v>
      </c>
      <c r="D58">
        <v>30.15</v>
      </c>
      <c r="E58">
        <v>30.65</v>
      </c>
      <c r="F58">
        <v>4.0599999999999996</v>
      </c>
      <c r="G58">
        <v>0.15409999999999999</v>
      </c>
      <c r="H58">
        <v>30</v>
      </c>
      <c r="I58">
        <v>706</v>
      </c>
      <c r="J58">
        <v>0.30130000000000001</v>
      </c>
      <c r="K58" t="s">
        <v>304</v>
      </c>
    </row>
    <row r="59" spans="1:11">
      <c r="A59">
        <v>95</v>
      </c>
      <c r="B59" t="s">
        <v>24</v>
      </c>
      <c r="C59">
        <v>26.2</v>
      </c>
      <c r="D59">
        <v>25.9</v>
      </c>
      <c r="E59">
        <v>26.4</v>
      </c>
      <c r="F59">
        <v>4.05</v>
      </c>
      <c r="G59">
        <v>0.18279999999999999</v>
      </c>
      <c r="H59">
        <v>25</v>
      </c>
      <c r="I59">
        <v>656</v>
      </c>
      <c r="J59">
        <v>0.29430000000000001</v>
      </c>
    </row>
    <row r="60" spans="1:11">
      <c r="A60">
        <v>100</v>
      </c>
      <c r="B60" t="s">
        <v>25</v>
      </c>
      <c r="C60">
        <v>22</v>
      </c>
      <c r="D60">
        <v>21.95</v>
      </c>
      <c r="E60">
        <v>22.4</v>
      </c>
      <c r="F60">
        <v>2.7</v>
      </c>
      <c r="G60">
        <v>0.1399</v>
      </c>
      <c r="H60">
        <v>416</v>
      </c>
      <c r="I60">
        <v>5761</v>
      </c>
      <c r="J60">
        <v>0.28749999999999998</v>
      </c>
    </row>
    <row r="61" spans="1:11">
      <c r="A61">
        <v>105</v>
      </c>
      <c r="B61" t="s">
        <v>26</v>
      </c>
      <c r="C61">
        <v>18.260000000000002</v>
      </c>
      <c r="D61">
        <v>18.25</v>
      </c>
      <c r="E61">
        <v>18.649999999999999</v>
      </c>
      <c r="F61">
        <v>2.86</v>
      </c>
      <c r="G61">
        <v>0.1857</v>
      </c>
      <c r="H61">
        <v>36</v>
      </c>
      <c r="I61">
        <v>2762</v>
      </c>
      <c r="J61">
        <v>0.2797</v>
      </c>
    </row>
    <row r="62" spans="1:11">
      <c r="A62">
        <v>110</v>
      </c>
      <c r="B62" t="s">
        <v>27</v>
      </c>
      <c r="C62">
        <v>15</v>
      </c>
      <c r="D62">
        <v>14.95</v>
      </c>
      <c r="E62">
        <v>15.3</v>
      </c>
      <c r="F62">
        <v>2.33</v>
      </c>
      <c r="G62">
        <v>0.18390000000000001</v>
      </c>
      <c r="H62">
        <v>283</v>
      </c>
      <c r="I62">
        <v>20042</v>
      </c>
      <c r="J62">
        <v>0.2742</v>
      </c>
    </row>
    <row r="63" spans="1:11">
      <c r="A63">
        <v>115</v>
      </c>
      <c r="B63" t="s">
        <v>28</v>
      </c>
      <c r="C63">
        <v>11.92</v>
      </c>
      <c r="D63">
        <v>11.95</v>
      </c>
      <c r="E63">
        <v>12.15</v>
      </c>
      <c r="F63">
        <v>1.85</v>
      </c>
      <c r="G63">
        <v>0.1837</v>
      </c>
      <c r="H63">
        <v>431</v>
      </c>
      <c r="I63">
        <v>7453</v>
      </c>
      <c r="J63">
        <v>0.26450000000000001</v>
      </c>
    </row>
    <row r="64" spans="1:11">
      <c r="A64">
        <v>120</v>
      </c>
      <c r="B64" t="s">
        <v>29</v>
      </c>
      <c r="C64">
        <v>9.36</v>
      </c>
      <c r="D64">
        <v>9.3000000000000007</v>
      </c>
      <c r="E64">
        <v>9.5500000000000007</v>
      </c>
      <c r="F64">
        <v>1.76</v>
      </c>
      <c r="G64">
        <v>0.2316</v>
      </c>
      <c r="H64">
        <v>216</v>
      </c>
      <c r="I64">
        <v>9433</v>
      </c>
      <c r="J64">
        <v>0.2596</v>
      </c>
    </row>
    <row r="65" spans="1:10">
      <c r="A65">
        <v>125</v>
      </c>
      <c r="B65" t="s">
        <v>30</v>
      </c>
      <c r="C65">
        <v>7.15</v>
      </c>
      <c r="D65">
        <v>7.05</v>
      </c>
      <c r="E65">
        <v>7.3</v>
      </c>
      <c r="F65">
        <v>1.45</v>
      </c>
      <c r="G65">
        <v>0.25440000000000002</v>
      </c>
      <c r="H65">
        <v>274</v>
      </c>
      <c r="I65">
        <v>8404</v>
      </c>
      <c r="J65">
        <v>0.25380000000000003</v>
      </c>
    </row>
    <row r="66" spans="1:10">
      <c r="A66">
        <v>130</v>
      </c>
      <c r="B66" t="s">
        <v>31</v>
      </c>
      <c r="C66">
        <v>5.33</v>
      </c>
      <c r="D66">
        <v>5.2</v>
      </c>
      <c r="E66">
        <v>5.45</v>
      </c>
      <c r="F66">
        <v>1.22</v>
      </c>
      <c r="G66">
        <v>0.29680000000000001</v>
      </c>
      <c r="H66">
        <v>227</v>
      </c>
      <c r="I66">
        <v>8809</v>
      </c>
      <c r="J66">
        <v>0.24859999999999999</v>
      </c>
    </row>
    <row r="67" spans="1:10">
      <c r="A67">
        <v>135</v>
      </c>
      <c r="B67" t="s">
        <v>32</v>
      </c>
      <c r="C67">
        <v>3.85</v>
      </c>
      <c r="D67">
        <v>3.75</v>
      </c>
      <c r="E67">
        <v>3.9</v>
      </c>
      <c r="F67">
        <v>0.95</v>
      </c>
      <c r="G67">
        <v>0.3276</v>
      </c>
      <c r="H67">
        <v>494</v>
      </c>
      <c r="I67">
        <v>7681</v>
      </c>
      <c r="J67">
        <v>0.2417</v>
      </c>
    </row>
    <row r="68" spans="1:10">
      <c r="A68">
        <v>140</v>
      </c>
      <c r="B68" t="s">
        <v>33</v>
      </c>
      <c r="C68">
        <v>2.77</v>
      </c>
      <c r="D68">
        <v>2.67</v>
      </c>
      <c r="E68">
        <v>2.82</v>
      </c>
      <c r="F68">
        <v>0.81</v>
      </c>
      <c r="G68">
        <v>0.4133</v>
      </c>
      <c r="H68">
        <v>683</v>
      </c>
      <c r="I68">
        <v>47962</v>
      </c>
      <c r="J68">
        <v>0.23949999999999999</v>
      </c>
    </row>
    <row r="69" spans="1:10">
      <c r="A69">
        <v>145</v>
      </c>
      <c r="B69" t="s">
        <v>34</v>
      </c>
      <c r="C69">
        <v>1.83</v>
      </c>
      <c r="D69">
        <v>1.82</v>
      </c>
      <c r="E69">
        <v>1.99</v>
      </c>
      <c r="F69">
        <v>0.46</v>
      </c>
      <c r="G69">
        <v>0.33579999999999999</v>
      </c>
      <c r="H69">
        <v>60</v>
      </c>
      <c r="I69">
        <v>4920</v>
      </c>
      <c r="J69">
        <v>0.23699999999999999</v>
      </c>
    </row>
    <row r="70" spans="1:10">
      <c r="A70">
        <v>150</v>
      </c>
      <c r="B70" t="s">
        <v>35</v>
      </c>
      <c r="C70">
        <v>1.3</v>
      </c>
      <c r="D70">
        <v>1.24</v>
      </c>
      <c r="E70">
        <v>1.33</v>
      </c>
      <c r="F70">
        <v>0.31</v>
      </c>
      <c r="G70">
        <v>0.31309999999999999</v>
      </c>
      <c r="H70">
        <v>233</v>
      </c>
      <c r="I70">
        <v>14062</v>
      </c>
      <c r="J70">
        <v>0.2324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70"/>
  <sheetViews>
    <sheetView workbookViewId="0">
      <selection activeCell="A16" sqref="A16:E28"/>
    </sheetView>
  </sheetViews>
  <sheetFormatPr defaultColWidth="8.8984375" defaultRowHeight="15.6"/>
  <cols>
    <col min="4" max="5" width="15.09765625" customWidth="1"/>
  </cols>
  <sheetData>
    <row r="1" spans="1:7">
      <c r="A1" t="s">
        <v>4</v>
      </c>
      <c r="B1" t="s">
        <v>7</v>
      </c>
      <c r="C1" t="s">
        <v>8</v>
      </c>
      <c r="D1" t="s">
        <v>305</v>
      </c>
      <c r="E1" t="s">
        <v>306</v>
      </c>
      <c r="F1" t="s">
        <v>307</v>
      </c>
    </row>
    <row r="2" spans="1:7">
      <c r="A2">
        <v>90</v>
      </c>
      <c r="B2">
        <v>30.15</v>
      </c>
      <c r="C2">
        <v>30.65</v>
      </c>
      <c r="D2" s="11">
        <v>42300</v>
      </c>
      <c r="E2" s="11">
        <v>42307</v>
      </c>
      <c r="F2">
        <f>E2-D2</f>
        <v>7</v>
      </c>
      <c r="G2" t="s">
        <v>300</v>
      </c>
    </row>
    <row r="3" spans="1:7">
      <c r="A3">
        <v>95</v>
      </c>
      <c r="B3">
        <v>25.9</v>
      </c>
      <c r="C3">
        <v>26.4</v>
      </c>
      <c r="D3" s="11">
        <v>42300</v>
      </c>
      <c r="E3" s="11">
        <v>42307</v>
      </c>
      <c r="F3">
        <f t="shared" ref="F3:F14" si="0">E3-D3</f>
        <v>7</v>
      </c>
    </row>
    <row r="4" spans="1:7">
      <c r="A4">
        <v>100</v>
      </c>
      <c r="B4">
        <v>21.95</v>
      </c>
      <c r="C4">
        <v>22.4</v>
      </c>
      <c r="D4" s="11">
        <v>42300</v>
      </c>
      <c r="E4" s="11">
        <v>42307</v>
      </c>
      <c r="F4">
        <f t="shared" si="0"/>
        <v>7</v>
      </c>
    </row>
    <row r="5" spans="1:7">
      <c r="A5">
        <v>105</v>
      </c>
      <c r="B5">
        <v>18.25</v>
      </c>
      <c r="C5">
        <v>18.649999999999999</v>
      </c>
      <c r="D5" s="11">
        <v>42300</v>
      </c>
      <c r="E5" s="11">
        <v>42307</v>
      </c>
      <c r="F5">
        <f t="shared" si="0"/>
        <v>7</v>
      </c>
    </row>
    <row r="6" spans="1:7">
      <c r="A6">
        <v>110</v>
      </c>
      <c r="B6">
        <v>14.95</v>
      </c>
      <c r="C6">
        <v>15.3</v>
      </c>
      <c r="D6" s="11">
        <v>42300</v>
      </c>
      <c r="E6" s="11">
        <v>42307</v>
      </c>
      <c r="F6">
        <f t="shared" si="0"/>
        <v>7</v>
      </c>
    </row>
    <row r="7" spans="1:7">
      <c r="A7">
        <v>115</v>
      </c>
      <c r="B7">
        <v>11.95</v>
      </c>
      <c r="C7">
        <v>12.15</v>
      </c>
      <c r="D7" s="11">
        <v>42300</v>
      </c>
      <c r="E7" s="11">
        <v>42307</v>
      </c>
      <c r="F7">
        <f t="shared" si="0"/>
        <v>7</v>
      </c>
    </row>
    <row r="8" spans="1:7">
      <c r="A8">
        <v>120</v>
      </c>
      <c r="B8">
        <v>9.3000000000000007</v>
      </c>
      <c r="C8">
        <v>9.5500000000000007</v>
      </c>
      <c r="D8" s="11">
        <v>42300</v>
      </c>
      <c r="E8" s="11">
        <v>42307</v>
      </c>
      <c r="F8">
        <f t="shared" si="0"/>
        <v>7</v>
      </c>
    </row>
    <row r="9" spans="1:7">
      <c r="A9">
        <v>125</v>
      </c>
      <c r="B9">
        <v>7.05</v>
      </c>
      <c r="C9">
        <v>7.3</v>
      </c>
      <c r="D9" s="11">
        <v>42300</v>
      </c>
      <c r="E9" s="11">
        <v>42307</v>
      </c>
      <c r="F9">
        <f t="shared" si="0"/>
        <v>7</v>
      </c>
    </row>
    <row r="10" spans="1:7">
      <c r="A10">
        <v>130</v>
      </c>
      <c r="B10">
        <v>5.2</v>
      </c>
      <c r="C10">
        <v>5.45</v>
      </c>
      <c r="D10" s="11">
        <v>42300</v>
      </c>
      <c r="E10" s="11">
        <v>42307</v>
      </c>
      <c r="F10">
        <f t="shared" si="0"/>
        <v>7</v>
      </c>
    </row>
    <row r="11" spans="1:7">
      <c r="A11">
        <v>135</v>
      </c>
      <c r="B11">
        <v>3.75</v>
      </c>
      <c r="C11">
        <v>3.9</v>
      </c>
      <c r="D11" s="11">
        <v>42300</v>
      </c>
      <c r="E11" s="11">
        <v>42307</v>
      </c>
      <c r="F11">
        <f t="shared" si="0"/>
        <v>7</v>
      </c>
    </row>
    <row r="12" spans="1:7">
      <c r="A12">
        <v>140</v>
      </c>
      <c r="B12">
        <v>2.67</v>
      </c>
      <c r="C12">
        <v>2.82</v>
      </c>
      <c r="D12" s="11">
        <v>42300</v>
      </c>
      <c r="E12" s="11">
        <v>42307</v>
      </c>
      <c r="F12">
        <f t="shared" si="0"/>
        <v>7</v>
      </c>
    </row>
    <row r="13" spans="1:7">
      <c r="A13">
        <v>145</v>
      </c>
      <c r="B13">
        <v>1.82</v>
      </c>
      <c r="C13">
        <v>1.99</v>
      </c>
      <c r="D13" s="11">
        <v>42300</v>
      </c>
      <c r="E13" s="11">
        <v>42307</v>
      </c>
      <c r="F13">
        <f t="shared" si="0"/>
        <v>7</v>
      </c>
    </row>
    <row r="14" spans="1:7">
      <c r="A14">
        <v>150</v>
      </c>
      <c r="B14">
        <v>1.24</v>
      </c>
      <c r="C14">
        <v>1.33</v>
      </c>
      <c r="D14" s="11">
        <v>42300</v>
      </c>
      <c r="E14" s="11">
        <v>42307</v>
      </c>
      <c r="F14">
        <f t="shared" si="0"/>
        <v>7</v>
      </c>
    </row>
    <row r="16" spans="1:7">
      <c r="A16">
        <v>90</v>
      </c>
      <c r="B16">
        <v>29</v>
      </c>
      <c r="C16">
        <v>29.15</v>
      </c>
      <c r="D16" s="11">
        <v>42300</v>
      </c>
      <c r="E16" s="11">
        <v>42356</v>
      </c>
      <c r="F16">
        <f>E16-D16</f>
        <v>56</v>
      </c>
      <c r="G16" t="s">
        <v>301</v>
      </c>
    </row>
    <row r="17" spans="1:7">
      <c r="A17">
        <v>95</v>
      </c>
      <c r="B17">
        <v>24.05</v>
      </c>
      <c r="C17">
        <v>24.3</v>
      </c>
      <c r="D17" s="11">
        <v>42300</v>
      </c>
      <c r="E17" s="11">
        <v>42356</v>
      </c>
      <c r="F17">
        <f t="shared" ref="F17:F28" si="1">E17-D17</f>
        <v>56</v>
      </c>
    </row>
    <row r="18" spans="1:7">
      <c r="A18">
        <v>100</v>
      </c>
      <c r="B18">
        <v>19.3</v>
      </c>
      <c r="C18">
        <v>19.55</v>
      </c>
      <c r="D18" s="11">
        <v>42300</v>
      </c>
      <c r="E18" s="11">
        <v>42356</v>
      </c>
      <c r="F18">
        <f t="shared" si="1"/>
        <v>56</v>
      </c>
    </row>
    <row r="19" spans="1:7">
      <c r="A19">
        <v>105</v>
      </c>
      <c r="B19">
        <v>14.75</v>
      </c>
      <c r="C19">
        <v>14.9</v>
      </c>
      <c r="D19" s="11">
        <v>42300</v>
      </c>
      <c r="E19" s="11">
        <v>42356</v>
      </c>
      <c r="F19">
        <f t="shared" si="1"/>
        <v>56</v>
      </c>
    </row>
    <row r="20" spans="1:7">
      <c r="A20">
        <v>110</v>
      </c>
      <c r="B20">
        <v>10.6</v>
      </c>
      <c r="C20">
        <v>10.7</v>
      </c>
      <c r="D20" s="11">
        <v>42300</v>
      </c>
      <c r="E20" s="11">
        <v>42356</v>
      </c>
      <c r="F20">
        <f t="shared" si="1"/>
        <v>56</v>
      </c>
    </row>
    <row r="21" spans="1:7">
      <c r="A21">
        <v>115</v>
      </c>
      <c r="B21">
        <v>7</v>
      </c>
      <c r="C21">
        <v>7.1</v>
      </c>
      <c r="D21" s="11">
        <v>42300</v>
      </c>
      <c r="E21" s="11">
        <v>42356</v>
      </c>
      <c r="F21">
        <f t="shared" si="1"/>
        <v>56</v>
      </c>
    </row>
    <row r="22" spans="1:7">
      <c r="A22">
        <v>120</v>
      </c>
      <c r="B22">
        <v>4.1500000000000004</v>
      </c>
      <c r="C22">
        <v>4.2</v>
      </c>
      <c r="D22" s="11">
        <v>42300</v>
      </c>
      <c r="E22" s="11">
        <v>42356</v>
      </c>
      <c r="F22">
        <f t="shared" si="1"/>
        <v>56</v>
      </c>
    </row>
    <row r="23" spans="1:7">
      <c r="A23">
        <v>125</v>
      </c>
      <c r="B23">
        <v>2.19</v>
      </c>
      <c r="C23">
        <v>2.2000000000000002</v>
      </c>
      <c r="D23" s="11">
        <v>42300</v>
      </c>
      <c r="E23" s="11">
        <v>42356</v>
      </c>
      <c r="F23">
        <f t="shared" si="1"/>
        <v>56</v>
      </c>
    </row>
    <row r="24" spans="1:7">
      <c r="A24">
        <v>130</v>
      </c>
      <c r="B24">
        <v>1.06</v>
      </c>
      <c r="C24">
        <v>1.08</v>
      </c>
      <c r="D24" s="11">
        <v>42300</v>
      </c>
      <c r="E24" s="11">
        <v>42356</v>
      </c>
      <c r="F24">
        <f t="shared" si="1"/>
        <v>56</v>
      </c>
    </row>
    <row r="25" spans="1:7">
      <c r="A25">
        <v>135</v>
      </c>
      <c r="B25">
        <v>0.48</v>
      </c>
      <c r="C25">
        <v>0.5</v>
      </c>
      <c r="D25" s="11">
        <v>42300</v>
      </c>
      <c r="E25" s="11">
        <v>42356</v>
      </c>
      <c r="F25">
        <f t="shared" si="1"/>
        <v>56</v>
      </c>
    </row>
    <row r="26" spans="1:7">
      <c r="A26">
        <v>140</v>
      </c>
      <c r="B26">
        <v>0.22</v>
      </c>
      <c r="C26">
        <v>0.25</v>
      </c>
      <c r="D26" s="11">
        <v>42300</v>
      </c>
      <c r="E26" s="11">
        <v>42356</v>
      </c>
      <c r="F26">
        <f t="shared" si="1"/>
        <v>56</v>
      </c>
    </row>
    <row r="27" spans="1:7">
      <c r="A27">
        <v>145</v>
      </c>
      <c r="B27">
        <v>0.11</v>
      </c>
      <c r="C27">
        <v>0.14000000000000001</v>
      </c>
      <c r="D27" s="11">
        <v>42300</v>
      </c>
      <c r="E27" s="11">
        <v>42356</v>
      </c>
      <c r="F27">
        <f t="shared" si="1"/>
        <v>56</v>
      </c>
    </row>
    <row r="28" spans="1:7">
      <c r="A28">
        <v>150</v>
      </c>
      <c r="B28">
        <v>7.0000000000000007E-2</v>
      </c>
      <c r="C28">
        <v>0.09</v>
      </c>
      <c r="D28" s="11">
        <v>42300</v>
      </c>
      <c r="E28" s="11">
        <v>42356</v>
      </c>
      <c r="F28">
        <f t="shared" si="1"/>
        <v>56</v>
      </c>
    </row>
    <row r="30" spans="1:7">
      <c r="A30">
        <v>90</v>
      </c>
      <c r="B30">
        <v>29.35</v>
      </c>
      <c r="C30">
        <v>29.7</v>
      </c>
      <c r="D30" s="11">
        <v>42300</v>
      </c>
      <c r="E30" s="11">
        <v>42419</v>
      </c>
      <c r="F30">
        <f>E30-D30</f>
        <v>119</v>
      </c>
      <c r="G30" t="s">
        <v>302</v>
      </c>
    </row>
    <row r="31" spans="1:7">
      <c r="A31">
        <v>95</v>
      </c>
      <c r="B31">
        <v>24.75</v>
      </c>
      <c r="C31">
        <v>25.05</v>
      </c>
      <c r="D31" s="11">
        <v>42300</v>
      </c>
      <c r="E31" s="11">
        <v>42419</v>
      </c>
      <c r="F31">
        <f>E31-D31</f>
        <v>119</v>
      </c>
    </row>
    <row r="32" spans="1:7">
      <c r="A32">
        <v>100</v>
      </c>
      <c r="B32">
        <v>20.350000000000001</v>
      </c>
      <c r="C32">
        <v>20.6</v>
      </c>
      <c r="D32" s="11">
        <v>42300</v>
      </c>
      <c r="E32" s="11">
        <v>42419</v>
      </c>
      <c r="F32">
        <f t="shared" ref="F32:F42" si="2">E32-D32</f>
        <v>119</v>
      </c>
    </row>
    <row r="33" spans="1:7">
      <c r="A33">
        <v>105</v>
      </c>
      <c r="B33">
        <v>16.2</v>
      </c>
      <c r="C33">
        <v>16.5</v>
      </c>
      <c r="D33" s="11">
        <v>42300</v>
      </c>
      <c r="E33" s="11">
        <v>42419</v>
      </c>
      <c r="F33">
        <f t="shared" si="2"/>
        <v>119</v>
      </c>
    </row>
    <row r="34" spans="1:7">
      <c r="A34">
        <v>110</v>
      </c>
      <c r="B34">
        <v>12.5</v>
      </c>
      <c r="C34">
        <v>12.7</v>
      </c>
      <c r="D34" s="11">
        <v>42300</v>
      </c>
      <c r="E34" s="11">
        <v>42419</v>
      </c>
      <c r="F34">
        <f t="shared" si="2"/>
        <v>119</v>
      </c>
    </row>
    <row r="35" spans="1:7">
      <c r="A35">
        <v>115</v>
      </c>
      <c r="B35">
        <v>9.1999999999999993</v>
      </c>
      <c r="C35">
        <v>9.35</v>
      </c>
      <c r="D35" s="11">
        <v>42300</v>
      </c>
      <c r="E35" s="11">
        <v>42419</v>
      </c>
      <c r="F35">
        <f t="shared" si="2"/>
        <v>119</v>
      </c>
    </row>
    <row r="36" spans="1:7">
      <c r="A36">
        <v>120</v>
      </c>
      <c r="B36">
        <v>6.55</v>
      </c>
      <c r="C36">
        <v>6.65</v>
      </c>
      <c r="D36" s="11">
        <v>42300</v>
      </c>
      <c r="E36" s="11">
        <v>42419</v>
      </c>
      <c r="F36">
        <f t="shared" si="2"/>
        <v>119</v>
      </c>
    </row>
    <row r="37" spans="1:7">
      <c r="A37">
        <v>125</v>
      </c>
      <c r="B37">
        <v>4.3499999999999996</v>
      </c>
      <c r="C37">
        <v>4.45</v>
      </c>
      <c r="D37" s="11">
        <v>42300</v>
      </c>
      <c r="E37" s="11">
        <v>42419</v>
      </c>
      <c r="F37">
        <f t="shared" si="2"/>
        <v>119</v>
      </c>
    </row>
    <row r="38" spans="1:7">
      <c r="A38">
        <v>130</v>
      </c>
      <c r="B38">
        <v>2.8</v>
      </c>
      <c r="C38">
        <v>2.85</v>
      </c>
      <c r="D38" s="11">
        <v>42300</v>
      </c>
      <c r="E38" s="11">
        <v>42419</v>
      </c>
      <c r="F38">
        <f t="shared" si="2"/>
        <v>119</v>
      </c>
    </row>
    <row r="39" spans="1:7">
      <c r="A39">
        <v>135</v>
      </c>
      <c r="B39">
        <v>1.69</v>
      </c>
      <c r="C39">
        <v>1.77</v>
      </c>
      <c r="D39" s="11">
        <v>42300</v>
      </c>
      <c r="E39" s="11">
        <v>42419</v>
      </c>
      <c r="F39">
        <f t="shared" si="2"/>
        <v>119</v>
      </c>
    </row>
    <row r="40" spans="1:7">
      <c r="A40">
        <v>140</v>
      </c>
      <c r="B40">
        <v>1.01</v>
      </c>
      <c r="C40">
        <v>1.08</v>
      </c>
      <c r="D40" s="11">
        <v>42300</v>
      </c>
      <c r="E40" s="11">
        <v>42419</v>
      </c>
      <c r="F40">
        <f t="shared" si="2"/>
        <v>119</v>
      </c>
    </row>
    <row r="41" spans="1:7">
      <c r="A41">
        <v>145</v>
      </c>
      <c r="B41">
        <v>0.62</v>
      </c>
      <c r="C41">
        <v>0.66</v>
      </c>
      <c r="D41" s="11">
        <v>42300</v>
      </c>
      <c r="E41" s="11">
        <v>42419</v>
      </c>
      <c r="F41">
        <f t="shared" si="2"/>
        <v>119</v>
      </c>
    </row>
    <row r="42" spans="1:7">
      <c r="A42">
        <v>150</v>
      </c>
      <c r="B42">
        <v>0.36</v>
      </c>
      <c r="C42">
        <v>0.45</v>
      </c>
      <c r="D42" s="11">
        <v>42300</v>
      </c>
      <c r="E42" s="11">
        <v>42419</v>
      </c>
      <c r="F42">
        <f t="shared" si="2"/>
        <v>119</v>
      </c>
    </row>
    <row r="44" spans="1:7">
      <c r="A44">
        <v>90</v>
      </c>
      <c r="B44">
        <v>29.7</v>
      </c>
      <c r="C44">
        <v>30.05</v>
      </c>
      <c r="D44" s="11">
        <v>42300</v>
      </c>
      <c r="E44" s="11">
        <v>42475</v>
      </c>
      <c r="F44">
        <f>E44-D44</f>
        <v>175</v>
      </c>
      <c r="G44" t="s">
        <v>303</v>
      </c>
    </row>
    <row r="45" spans="1:7">
      <c r="A45">
        <v>95</v>
      </c>
      <c r="B45">
        <v>25.25</v>
      </c>
      <c r="C45">
        <v>25.65</v>
      </c>
      <c r="D45" s="11">
        <v>42300</v>
      </c>
      <c r="E45" s="11">
        <v>42475</v>
      </c>
      <c r="F45">
        <f>E45-D45</f>
        <v>175</v>
      </c>
    </row>
    <row r="46" spans="1:7">
      <c r="A46">
        <v>100</v>
      </c>
      <c r="B46">
        <v>21</v>
      </c>
      <c r="C46">
        <v>21.35</v>
      </c>
      <c r="D46" s="11">
        <v>42300</v>
      </c>
      <c r="E46" s="11">
        <v>42475</v>
      </c>
      <c r="F46">
        <f t="shared" ref="F46:F56" si="3">E46-D46</f>
        <v>175</v>
      </c>
    </row>
    <row r="47" spans="1:7">
      <c r="A47">
        <v>105</v>
      </c>
      <c r="B47">
        <v>17.149999999999999</v>
      </c>
      <c r="C47">
        <v>17.399999999999999</v>
      </c>
      <c r="D47" s="11">
        <v>42300</v>
      </c>
      <c r="E47" s="11">
        <v>42475</v>
      </c>
      <c r="F47">
        <f t="shared" si="3"/>
        <v>175</v>
      </c>
    </row>
    <row r="48" spans="1:7">
      <c r="A48">
        <v>110</v>
      </c>
      <c r="B48">
        <v>13.65</v>
      </c>
      <c r="C48">
        <v>13.85</v>
      </c>
      <c r="D48" s="11">
        <v>42300</v>
      </c>
      <c r="E48" s="11">
        <v>42475</v>
      </c>
      <c r="F48">
        <f t="shared" si="3"/>
        <v>175</v>
      </c>
    </row>
    <row r="49" spans="1:7">
      <c r="A49">
        <v>115</v>
      </c>
      <c r="B49">
        <v>10.5</v>
      </c>
      <c r="C49">
        <v>10.7</v>
      </c>
      <c r="D49" s="11">
        <v>42300</v>
      </c>
      <c r="E49" s="11">
        <v>42475</v>
      </c>
      <c r="F49">
        <f t="shared" si="3"/>
        <v>175</v>
      </c>
    </row>
    <row r="50" spans="1:7">
      <c r="A50">
        <v>120</v>
      </c>
      <c r="B50">
        <v>7.85</v>
      </c>
      <c r="C50">
        <v>8.0500000000000007</v>
      </c>
      <c r="D50" s="11">
        <v>42300</v>
      </c>
      <c r="E50" s="11">
        <v>42475</v>
      </c>
      <c r="F50">
        <f t="shared" si="3"/>
        <v>175</v>
      </c>
    </row>
    <row r="51" spans="1:7">
      <c r="A51">
        <v>125</v>
      </c>
      <c r="B51">
        <v>5.6</v>
      </c>
      <c r="C51">
        <v>5.8</v>
      </c>
      <c r="D51" s="11">
        <v>42300</v>
      </c>
      <c r="E51" s="11">
        <v>42475</v>
      </c>
      <c r="F51">
        <f t="shared" si="3"/>
        <v>175</v>
      </c>
    </row>
    <row r="52" spans="1:7">
      <c r="A52">
        <v>130</v>
      </c>
      <c r="B52">
        <v>3.85</v>
      </c>
      <c r="C52">
        <v>4.05</v>
      </c>
      <c r="D52" s="11">
        <v>42300</v>
      </c>
      <c r="E52" s="11">
        <v>42475</v>
      </c>
      <c r="F52">
        <f t="shared" si="3"/>
        <v>175</v>
      </c>
    </row>
    <row r="53" spans="1:7">
      <c r="A53">
        <v>135</v>
      </c>
      <c r="B53">
        <v>2.6</v>
      </c>
      <c r="C53">
        <v>2.73</v>
      </c>
      <c r="D53" s="11">
        <v>42300</v>
      </c>
      <c r="E53" s="11">
        <v>42475</v>
      </c>
      <c r="F53">
        <f t="shared" si="3"/>
        <v>175</v>
      </c>
    </row>
    <row r="54" spans="1:7">
      <c r="A54">
        <v>140</v>
      </c>
      <c r="B54">
        <v>1.68</v>
      </c>
      <c r="C54">
        <v>1.84</v>
      </c>
      <c r="D54" s="11">
        <v>42300</v>
      </c>
      <c r="E54" s="11">
        <v>42475</v>
      </c>
      <c r="F54">
        <f t="shared" si="3"/>
        <v>175</v>
      </c>
    </row>
    <row r="55" spans="1:7">
      <c r="A55">
        <v>145</v>
      </c>
      <c r="B55">
        <v>1.07</v>
      </c>
      <c r="C55">
        <v>1.23</v>
      </c>
      <c r="D55" s="11">
        <v>42300</v>
      </c>
      <c r="E55" s="11">
        <v>42475</v>
      </c>
      <c r="F55">
        <f t="shared" si="3"/>
        <v>175</v>
      </c>
    </row>
    <row r="56" spans="1:7">
      <c r="A56">
        <v>150</v>
      </c>
      <c r="B56">
        <v>0.7</v>
      </c>
      <c r="C56">
        <v>0.82</v>
      </c>
      <c r="D56" s="11">
        <v>42300</v>
      </c>
      <c r="E56" s="11">
        <v>42475</v>
      </c>
      <c r="F56">
        <f t="shared" si="3"/>
        <v>175</v>
      </c>
    </row>
    <row r="58" spans="1:7">
      <c r="A58">
        <v>90</v>
      </c>
      <c r="B58">
        <v>30.15</v>
      </c>
      <c r="C58">
        <v>30.65</v>
      </c>
      <c r="D58" s="11">
        <v>42300</v>
      </c>
      <c r="E58" s="11">
        <v>42538</v>
      </c>
      <c r="F58">
        <f>E58-D58</f>
        <v>238</v>
      </c>
      <c r="G58" t="s">
        <v>304</v>
      </c>
    </row>
    <row r="59" spans="1:7">
      <c r="A59">
        <v>95</v>
      </c>
      <c r="B59">
        <v>25.9</v>
      </c>
      <c r="C59">
        <v>26.4</v>
      </c>
      <c r="D59" s="11">
        <v>42300</v>
      </c>
      <c r="E59" s="11">
        <v>42538</v>
      </c>
      <c r="F59">
        <f t="shared" ref="F59:F70" si="4">E59-D59</f>
        <v>238</v>
      </c>
    </row>
    <row r="60" spans="1:7">
      <c r="A60">
        <v>100</v>
      </c>
      <c r="B60">
        <v>21.95</v>
      </c>
      <c r="C60">
        <v>22.4</v>
      </c>
      <c r="D60" s="11">
        <v>42300</v>
      </c>
      <c r="E60" s="11">
        <v>42538</v>
      </c>
      <c r="F60">
        <f t="shared" si="4"/>
        <v>238</v>
      </c>
    </row>
    <row r="61" spans="1:7">
      <c r="A61">
        <v>105</v>
      </c>
      <c r="B61">
        <v>18.25</v>
      </c>
      <c r="C61">
        <v>18.649999999999999</v>
      </c>
      <c r="D61" s="11">
        <v>42300</v>
      </c>
      <c r="E61" s="11">
        <v>42538</v>
      </c>
      <c r="F61">
        <f t="shared" si="4"/>
        <v>238</v>
      </c>
    </row>
    <row r="62" spans="1:7">
      <c r="A62">
        <v>110</v>
      </c>
      <c r="B62">
        <v>14.95</v>
      </c>
      <c r="C62">
        <v>15.3</v>
      </c>
      <c r="D62" s="11">
        <v>42300</v>
      </c>
      <c r="E62" s="11">
        <v>42538</v>
      </c>
      <c r="F62">
        <f t="shared" si="4"/>
        <v>238</v>
      </c>
    </row>
    <row r="63" spans="1:7">
      <c r="A63">
        <v>115</v>
      </c>
      <c r="B63">
        <v>11.95</v>
      </c>
      <c r="C63">
        <v>12.15</v>
      </c>
      <c r="D63" s="11">
        <v>42300</v>
      </c>
      <c r="E63" s="11">
        <v>42538</v>
      </c>
      <c r="F63">
        <f t="shared" si="4"/>
        <v>238</v>
      </c>
    </row>
    <row r="64" spans="1:7">
      <c r="A64">
        <v>120</v>
      </c>
      <c r="B64">
        <v>9.3000000000000007</v>
      </c>
      <c r="C64">
        <v>9.5500000000000007</v>
      </c>
      <c r="D64" s="11">
        <v>42300</v>
      </c>
      <c r="E64" s="11">
        <v>42538</v>
      </c>
      <c r="F64">
        <f t="shared" si="4"/>
        <v>238</v>
      </c>
    </row>
    <row r="65" spans="1:6">
      <c r="A65">
        <v>125</v>
      </c>
      <c r="B65">
        <v>7.05</v>
      </c>
      <c r="C65">
        <v>7.3</v>
      </c>
      <c r="D65" s="11">
        <v>42300</v>
      </c>
      <c r="E65" s="11">
        <v>42538</v>
      </c>
      <c r="F65">
        <f t="shared" si="4"/>
        <v>238</v>
      </c>
    </row>
    <row r="66" spans="1:6">
      <c r="A66">
        <v>130</v>
      </c>
      <c r="B66">
        <v>5.2</v>
      </c>
      <c r="C66">
        <v>5.45</v>
      </c>
      <c r="D66" s="11">
        <v>42300</v>
      </c>
      <c r="E66" s="11">
        <v>42538</v>
      </c>
      <c r="F66">
        <f t="shared" si="4"/>
        <v>238</v>
      </c>
    </row>
    <row r="67" spans="1:6">
      <c r="A67">
        <v>135</v>
      </c>
      <c r="B67">
        <v>3.75</v>
      </c>
      <c r="C67">
        <v>3.9</v>
      </c>
      <c r="D67" s="11">
        <v>42300</v>
      </c>
      <c r="E67" s="11">
        <v>42538</v>
      </c>
      <c r="F67">
        <f t="shared" si="4"/>
        <v>238</v>
      </c>
    </row>
    <row r="68" spans="1:6">
      <c r="A68">
        <v>140</v>
      </c>
      <c r="B68">
        <v>2.67</v>
      </c>
      <c r="C68">
        <v>2.82</v>
      </c>
      <c r="D68" s="11">
        <v>42300</v>
      </c>
      <c r="E68" s="11">
        <v>42538</v>
      </c>
      <c r="F68">
        <f t="shared" si="4"/>
        <v>238</v>
      </c>
    </row>
    <row r="69" spans="1:6">
      <c r="A69">
        <v>145</v>
      </c>
      <c r="B69">
        <v>1.82</v>
      </c>
      <c r="C69">
        <v>1.99</v>
      </c>
      <c r="D69" s="11">
        <v>42300</v>
      </c>
      <c r="E69" s="11">
        <v>42538</v>
      </c>
      <c r="F69">
        <f t="shared" si="4"/>
        <v>238</v>
      </c>
    </row>
    <row r="70" spans="1:6">
      <c r="A70">
        <v>150</v>
      </c>
      <c r="B70">
        <v>1.24</v>
      </c>
      <c r="C70">
        <v>1.33</v>
      </c>
      <c r="D70" s="11">
        <v>42300</v>
      </c>
      <c r="E70" s="11">
        <v>42538</v>
      </c>
      <c r="F70">
        <f t="shared" si="4"/>
        <v>238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53"/>
  <sheetViews>
    <sheetView zoomScale="101" workbookViewId="0">
      <selection activeCell="F2" sqref="F2"/>
    </sheetView>
  </sheetViews>
  <sheetFormatPr defaultColWidth="8.8984375" defaultRowHeight="15.6"/>
  <cols>
    <col min="5" max="5" width="12.09765625" customWidth="1"/>
  </cols>
  <sheetData>
    <row r="1" spans="1:7">
      <c r="A1" t="s">
        <v>1</v>
      </c>
      <c r="B1" t="s">
        <v>308</v>
      </c>
      <c r="C1" t="s">
        <v>7</v>
      </c>
      <c r="D1" t="s">
        <v>8</v>
      </c>
      <c r="E1" t="s">
        <v>309</v>
      </c>
      <c r="F1" t="s">
        <v>310</v>
      </c>
      <c r="G1" t="s">
        <v>311</v>
      </c>
    </row>
    <row r="2" spans="1:7">
      <c r="A2" s="10">
        <v>119.08</v>
      </c>
      <c r="B2">
        <v>90</v>
      </c>
      <c r="C2">
        <v>29</v>
      </c>
      <c r="D2">
        <v>29.15</v>
      </c>
      <c r="E2">
        <v>56</v>
      </c>
      <c r="F2">
        <f>BSCImVol(A2, B2, 0.0025, 0.0187, E2/365, (C2+D2)/2)</f>
        <v>0.41511822957545519</v>
      </c>
    </row>
    <row r="3" spans="1:7">
      <c r="A3" s="10">
        <v>119.08</v>
      </c>
      <c r="B3">
        <v>95</v>
      </c>
      <c r="C3">
        <v>24.05</v>
      </c>
      <c r="D3">
        <v>24.3</v>
      </c>
      <c r="E3">
        <v>56</v>
      </c>
      <c r="F3">
        <f t="shared" ref="F3:F53" si="0">BSCImVol(A3, B3, 0.0025, 0.0187, E3/365, (C3+D3)/2)</f>
        <v>0.36813717801123857</v>
      </c>
    </row>
    <row r="4" spans="1:7">
      <c r="A4" s="10">
        <v>119.08</v>
      </c>
      <c r="B4">
        <v>100</v>
      </c>
      <c r="C4">
        <v>19.3</v>
      </c>
      <c r="D4">
        <v>19.55</v>
      </c>
      <c r="E4">
        <v>56</v>
      </c>
      <c r="F4">
        <f t="shared" si="0"/>
        <v>0.33695905935019255</v>
      </c>
    </row>
    <row r="5" spans="1:7">
      <c r="A5" s="10">
        <v>119.08</v>
      </c>
      <c r="B5">
        <v>105</v>
      </c>
      <c r="C5">
        <v>14.75</v>
      </c>
      <c r="D5">
        <v>14.9</v>
      </c>
      <c r="E5">
        <v>56</v>
      </c>
      <c r="F5">
        <f t="shared" si="0"/>
        <v>0.30529332812875509</v>
      </c>
    </row>
    <row r="6" spans="1:7">
      <c r="A6" s="10">
        <v>119.08</v>
      </c>
      <c r="B6">
        <v>110</v>
      </c>
      <c r="C6">
        <v>10.6</v>
      </c>
      <c r="D6">
        <v>10.7</v>
      </c>
      <c r="E6">
        <v>56</v>
      </c>
      <c r="F6">
        <f t="shared" si="0"/>
        <v>0.28581649530678988</v>
      </c>
    </row>
    <row r="7" spans="1:7">
      <c r="A7" s="10">
        <v>119.08</v>
      </c>
      <c r="B7">
        <v>115</v>
      </c>
      <c r="C7">
        <v>7</v>
      </c>
      <c r="D7">
        <v>7.1</v>
      </c>
      <c r="E7">
        <v>56</v>
      </c>
      <c r="F7">
        <f t="shared" si="0"/>
        <v>0.27011450845748186</v>
      </c>
    </row>
    <row r="8" spans="1:7">
      <c r="A8" s="10">
        <v>119.08</v>
      </c>
      <c r="B8">
        <v>120</v>
      </c>
      <c r="C8">
        <v>4.1500000000000004</v>
      </c>
      <c r="D8">
        <v>4.2</v>
      </c>
      <c r="E8">
        <v>56</v>
      </c>
      <c r="F8">
        <f t="shared" si="0"/>
        <v>0.25523035321384668</v>
      </c>
    </row>
    <row r="9" spans="1:7">
      <c r="A9" s="10">
        <v>119.08</v>
      </c>
      <c r="B9">
        <v>125</v>
      </c>
      <c r="C9">
        <v>2.19</v>
      </c>
      <c r="D9">
        <v>2.2000000000000002</v>
      </c>
      <c r="E9">
        <v>56</v>
      </c>
      <c r="F9">
        <f t="shared" si="0"/>
        <v>0.24474289733916521</v>
      </c>
    </row>
    <row r="10" spans="1:7">
      <c r="A10" s="10">
        <v>119.08</v>
      </c>
      <c r="B10">
        <v>130</v>
      </c>
      <c r="C10">
        <v>1.06</v>
      </c>
      <c r="D10">
        <v>1.08</v>
      </c>
      <c r="E10">
        <v>56</v>
      </c>
      <c r="F10">
        <f t="shared" si="0"/>
        <v>0.24170820135623217</v>
      </c>
    </row>
    <row r="11" spans="1:7">
      <c r="A11" s="10">
        <v>119.08</v>
      </c>
      <c r="B11">
        <v>135</v>
      </c>
      <c r="C11">
        <v>0.48</v>
      </c>
      <c r="D11">
        <v>0.5</v>
      </c>
      <c r="E11">
        <v>56</v>
      </c>
      <c r="F11">
        <f t="shared" si="0"/>
        <v>0.24195429403334856</v>
      </c>
    </row>
    <row r="12" spans="1:7">
      <c r="A12" s="10">
        <v>119.08</v>
      </c>
      <c r="B12">
        <v>140</v>
      </c>
      <c r="C12">
        <v>0.22</v>
      </c>
      <c r="D12">
        <v>0.25</v>
      </c>
      <c r="E12">
        <v>56</v>
      </c>
      <c r="F12">
        <f t="shared" si="0"/>
        <v>0.24831830058246851</v>
      </c>
    </row>
    <row r="13" spans="1:7">
      <c r="A13" s="10">
        <v>119.08</v>
      </c>
      <c r="B13">
        <v>145</v>
      </c>
      <c r="C13">
        <v>0.11</v>
      </c>
      <c r="D13">
        <v>0.14000000000000001</v>
      </c>
      <c r="E13">
        <v>56</v>
      </c>
      <c r="F13">
        <f t="shared" si="0"/>
        <v>0.25944441091269255</v>
      </c>
    </row>
    <row r="14" spans="1:7">
      <c r="A14" s="10">
        <v>119.08</v>
      </c>
      <c r="B14">
        <v>150</v>
      </c>
      <c r="C14">
        <v>7.0000000000000007E-2</v>
      </c>
      <c r="D14">
        <v>0.09</v>
      </c>
      <c r="E14">
        <v>56</v>
      </c>
      <c r="F14">
        <f t="shared" si="0"/>
        <v>0.27637777384370565</v>
      </c>
    </row>
    <row r="15" spans="1:7">
      <c r="A15" s="12">
        <v>119.08</v>
      </c>
      <c r="B15" s="13">
        <v>90</v>
      </c>
      <c r="C15" s="13">
        <v>29.35</v>
      </c>
      <c r="D15" s="13">
        <v>29.7</v>
      </c>
      <c r="E15" s="13">
        <v>119</v>
      </c>
      <c r="F15" s="13">
        <f t="shared" si="0"/>
        <v>0.38047262001782656</v>
      </c>
    </row>
    <row r="16" spans="1:7">
      <c r="A16" s="12">
        <v>119.08</v>
      </c>
      <c r="B16" s="13">
        <v>95</v>
      </c>
      <c r="C16" s="13">
        <v>24.75</v>
      </c>
      <c r="D16" s="13">
        <v>25.05</v>
      </c>
      <c r="E16" s="13">
        <v>119</v>
      </c>
      <c r="F16" s="13">
        <f t="shared" si="0"/>
        <v>0.35222214180976152</v>
      </c>
    </row>
    <row r="17" spans="1:6">
      <c r="A17" s="12">
        <v>119.08</v>
      </c>
      <c r="B17" s="13">
        <v>100</v>
      </c>
      <c r="C17" s="13">
        <v>20.350000000000001</v>
      </c>
      <c r="D17" s="13">
        <v>20.6</v>
      </c>
      <c r="E17" s="13">
        <v>119</v>
      </c>
      <c r="F17" s="13">
        <f t="shared" si="0"/>
        <v>0.32879560720175505</v>
      </c>
    </row>
    <row r="18" spans="1:6">
      <c r="A18" s="12">
        <v>119.08</v>
      </c>
      <c r="B18" s="13">
        <v>105</v>
      </c>
      <c r="C18" s="13">
        <v>16.2</v>
      </c>
      <c r="D18" s="13">
        <v>16.5</v>
      </c>
      <c r="E18" s="13">
        <v>119</v>
      </c>
      <c r="F18" s="13">
        <f t="shared" si="0"/>
        <v>0.31024740543216467</v>
      </c>
    </row>
    <row r="19" spans="1:6">
      <c r="A19" s="12">
        <v>119.08</v>
      </c>
      <c r="B19" s="13">
        <v>110</v>
      </c>
      <c r="C19" s="13">
        <v>12.5</v>
      </c>
      <c r="D19" s="13">
        <v>12.7</v>
      </c>
      <c r="E19" s="13">
        <v>119</v>
      </c>
      <c r="F19" s="13">
        <f t="shared" si="0"/>
        <v>0.29459397774189711</v>
      </c>
    </row>
    <row r="20" spans="1:6">
      <c r="A20" s="12">
        <v>119.08</v>
      </c>
      <c r="B20" s="13">
        <v>115</v>
      </c>
      <c r="C20" s="13">
        <v>9.1999999999999993</v>
      </c>
      <c r="D20" s="13">
        <v>9.35</v>
      </c>
      <c r="E20" s="13">
        <v>119</v>
      </c>
      <c r="F20" s="13">
        <f t="shared" si="0"/>
        <v>0.27971104253083467</v>
      </c>
    </row>
    <row r="21" spans="1:6">
      <c r="A21" s="12">
        <v>119.08</v>
      </c>
      <c r="B21" s="13">
        <v>120</v>
      </c>
      <c r="C21" s="13">
        <v>6.55</v>
      </c>
      <c r="D21" s="13">
        <v>6.65</v>
      </c>
      <c r="E21" s="13">
        <v>119</v>
      </c>
      <c r="F21" s="13">
        <f t="shared" si="0"/>
        <v>0.27102038729935884</v>
      </c>
    </row>
    <row r="22" spans="1:6">
      <c r="A22" s="12">
        <v>119.08</v>
      </c>
      <c r="B22" s="13">
        <v>125</v>
      </c>
      <c r="C22" s="13">
        <v>4.3499999999999996</v>
      </c>
      <c r="D22" s="13">
        <v>4.45</v>
      </c>
      <c r="E22" s="13">
        <v>119</v>
      </c>
      <c r="F22" s="13">
        <f t="shared" si="0"/>
        <v>0.26029567699879408</v>
      </c>
    </row>
    <row r="23" spans="1:6">
      <c r="A23" s="12">
        <v>119.08</v>
      </c>
      <c r="B23" s="13">
        <v>130</v>
      </c>
      <c r="C23" s="13">
        <v>2.8</v>
      </c>
      <c r="D23" s="13">
        <v>2.85</v>
      </c>
      <c r="E23" s="13">
        <v>119</v>
      </c>
      <c r="F23" s="13">
        <f t="shared" si="0"/>
        <v>0.25377921294420958</v>
      </c>
    </row>
    <row r="24" spans="1:6">
      <c r="A24" s="12">
        <v>119.08</v>
      </c>
      <c r="B24" s="13">
        <v>135</v>
      </c>
      <c r="C24" s="13">
        <v>1.69</v>
      </c>
      <c r="D24" s="13">
        <v>1.77</v>
      </c>
      <c r="E24" s="13">
        <v>119</v>
      </c>
      <c r="F24" s="13">
        <f t="shared" si="0"/>
        <v>0.24861605372279882</v>
      </c>
    </row>
    <row r="25" spans="1:6">
      <c r="A25" s="12">
        <v>119.08</v>
      </c>
      <c r="B25" s="13">
        <v>140</v>
      </c>
      <c r="C25" s="13">
        <v>1.01</v>
      </c>
      <c r="D25" s="13">
        <v>1.08</v>
      </c>
      <c r="E25" s="13">
        <v>119</v>
      </c>
      <c r="F25" s="13">
        <f t="shared" si="0"/>
        <v>0.24679151829332113</v>
      </c>
    </row>
    <row r="26" spans="1:6">
      <c r="A26" s="12">
        <v>119.08</v>
      </c>
      <c r="B26" s="13">
        <v>145</v>
      </c>
      <c r="C26" s="13">
        <v>0.62</v>
      </c>
      <c r="D26" s="13">
        <v>0.66</v>
      </c>
      <c r="E26" s="13">
        <v>119</v>
      </c>
      <c r="F26" s="13">
        <f t="shared" si="0"/>
        <v>0.24819867219775915</v>
      </c>
    </row>
    <row r="27" spans="1:6">
      <c r="A27" s="12">
        <v>119.08</v>
      </c>
      <c r="B27" s="13">
        <v>150</v>
      </c>
      <c r="C27" s="13">
        <v>0.36</v>
      </c>
      <c r="D27" s="13">
        <v>0.45</v>
      </c>
      <c r="E27" s="13">
        <v>119</v>
      </c>
      <c r="F27" s="13">
        <f t="shared" si="0"/>
        <v>0.25221166666597128</v>
      </c>
    </row>
    <row r="28" spans="1:6">
      <c r="A28" s="10">
        <v>119.08</v>
      </c>
      <c r="B28">
        <v>90</v>
      </c>
      <c r="C28">
        <v>29.7</v>
      </c>
      <c r="D28">
        <v>30.05</v>
      </c>
      <c r="E28">
        <v>175</v>
      </c>
      <c r="F28">
        <f t="shared" si="0"/>
        <v>0.35802929196506739</v>
      </c>
    </row>
    <row r="29" spans="1:6">
      <c r="A29" s="10">
        <v>119.08</v>
      </c>
      <c r="B29">
        <v>95</v>
      </c>
      <c r="C29">
        <v>25.25</v>
      </c>
      <c r="D29">
        <v>25.65</v>
      </c>
      <c r="E29">
        <v>175</v>
      </c>
      <c r="F29">
        <f t="shared" si="0"/>
        <v>0.33718574326485395</v>
      </c>
    </row>
    <row r="30" spans="1:6">
      <c r="A30" s="10">
        <v>119.08</v>
      </c>
      <c r="B30">
        <v>100</v>
      </c>
      <c r="C30">
        <v>21</v>
      </c>
      <c r="D30">
        <v>21.35</v>
      </c>
      <c r="E30">
        <v>175</v>
      </c>
      <c r="F30">
        <f t="shared" si="0"/>
        <v>0.31599333044141531</v>
      </c>
    </row>
    <row r="31" spans="1:6">
      <c r="A31" s="10">
        <v>119.08</v>
      </c>
      <c r="B31">
        <v>105</v>
      </c>
      <c r="C31">
        <v>17.149999999999999</v>
      </c>
      <c r="D31">
        <v>17.399999999999999</v>
      </c>
      <c r="E31">
        <v>175</v>
      </c>
      <c r="F31">
        <f t="shared" si="0"/>
        <v>0.30159332323819399</v>
      </c>
    </row>
    <row r="32" spans="1:6">
      <c r="A32" s="10">
        <v>119.08</v>
      </c>
      <c r="B32">
        <v>110</v>
      </c>
      <c r="C32">
        <v>13.65</v>
      </c>
      <c r="D32">
        <v>13.85</v>
      </c>
      <c r="E32">
        <v>175</v>
      </c>
      <c r="F32">
        <f t="shared" si="0"/>
        <v>0.28975703287869692</v>
      </c>
    </row>
    <row r="33" spans="1:6">
      <c r="A33" s="10">
        <v>119.08</v>
      </c>
      <c r="B33">
        <v>115</v>
      </c>
      <c r="C33">
        <v>10.5</v>
      </c>
      <c r="D33">
        <v>10.7</v>
      </c>
      <c r="E33">
        <v>175</v>
      </c>
      <c r="F33">
        <f t="shared" si="0"/>
        <v>0.27820318471640348</v>
      </c>
    </row>
    <row r="34" spans="1:6">
      <c r="A34" s="10">
        <v>119.08</v>
      </c>
      <c r="B34">
        <v>120</v>
      </c>
      <c r="C34">
        <v>7.85</v>
      </c>
      <c r="D34">
        <v>8.0500000000000007</v>
      </c>
      <c r="E34">
        <v>175</v>
      </c>
      <c r="F34">
        <f t="shared" si="0"/>
        <v>0.26943186763674021</v>
      </c>
    </row>
    <row r="35" spans="1:6">
      <c r="A35" s="10">
        <v>119.08</v>
      </c>
      <c r="B35">
        <v>125</v>
      </c>
      <c r="C35">
        <v>5.6</v>
      </c>
      <c r="D35">
        <v>5.8</v>
      </c>
      <c r="E35">
        <v>175</v>
      </c>
      <c r="F35">
        <f t="shared" si="0"/>
        <v>0.25955301243811846</v>
      </c>
    </row>
    <row r="36" spans="1:6">
      <c r="A36" s="10">
        <v>119.08</v>
      </c>
      <c r="B36">
        <v>130</v>
      </c>
      <c r="C36">
        <v>3.85</v>
      </c>
      <c r="D36">
        <v>4.05</v>
      </c>
      <c r="E36">
        <v>175</v>
      </c>
      <c r="F36">
        <f t="shared" si="0"/>
        <v>0.25174431968480349</v>
      </c>
    </row>
    <row r="37" spans="1:6">
      <c r="A37" s="10">
        <v>119.08</v>
      </c>
      <c r="B37">
        <v>135</v>
      </c>
      <c r="C37">
        <v>2.6</v>
      </c>
      <c r="D37">
        <v>2.73</v>
      </c>
      <c r="E37">
        <v>175</v>
      </c>
      <c r="F37">
        <f t="shared" si="0"/>
        <v>0.24623165372759104</v>
      </c>
    </row>
    <row r="38" spans="1:6">
      <c r="A38" s="10">
        <v>119.08</v>
      </c>
      <c r="B38">
        <v>140</v>
      </c>
      <c r="C38">
        <v>1.68</v>
      </c>
      <c r="D38">
        <v>1.84</v>
      </c>
      <c r="E38">
        <v>175</v>
      </c>
      <c r="F38">
        <f t="shared" si="0"/>
        <v>0.24255629163235426</v>
      </c>
    </row>
    <row r="39" spans="1:6">
      <c r="A39" s="10">
        <v>119.08</v>
      </c>
      <c r="B39">
        <v>145</v>
      </c>
      <c r="C39">
        <v>1.07</v>
      </c>
      <c r="D39">
        <v>1.23</v>
      </c>
      <c r="E39">
        <v>175</v>
      </c>
      <c r="F39">
        <f t="shared" si="0"/>
        <v>0.24066433776170015</v>
      </c>
    </row>
    <row r="40" spans="1:6">
      <c r="A40" s="10">
        <v>119.08</v>
      </c>
      <c r="B40">
        <v>150</v>
      </c>
      <c r="C40">
        <v>0.7</v>
      </c>
      <c r="D40">
        <v>0.82</v>
      </c>
      <c r="E40">
        <v>175</v>
      </c>
      <c r="F40">
        <f t="shared" si="0"/>
        <v>0.2410216024145484</v>
      </c>
    </row>
    <row r="41" spans="1:6">
      <c r="A41" s="12">
        <v>119.08</v>
      </c>
      <c r="B41" s="13">
        <v>90</v>
      </c>
      <c r="C41" s="13">
        <v>30.15</v>
      </c>
      <c r="D41" s="13">
        <v>30.65</v>
      </c>
      <c r="E41" s="13">
        <v>238</v>
      </c>
      <c r="F41" s="13">
        <f t="shared" si="0"/>
        <v>0.34947108943015337</v>
      </c>
    </row>
    <row r="42" spans="1:6">
      <c r="A42" s="12">
        <v>119.08</v>
      </c>
      <c r="B42" s="13">
        <v>95</v>
      </c>
      <c r="C42" s="13">
        <v>25.9</v>
      </c>
      <c r="D42" s="13">
        <v>26.4</v>
      </c>
      <c r="E42" s="13">
        <v>238</v>
      </c>
      <c r="F42" s="13">
        <f t="shared" si="0"/>
        <v>0.33167519140988588</v>
      </c>
    </row>
    <row r="43" spans="1:6">
      <c r="A43" s="12">
        <v>119.08</v>
      </c>
      <c r="B43" s="13">
        <v>100</v>
      </c>
      <c r="C43" s="13">
        <v>21.95</v>
      </c>
      <c r="D43" s="13">
        <v>22.4</v>
      </c>
      <c r="E43" s="13">
        <v>238</v>
      </c>
      <c r="F43" s="13">
        <f t="shared" si="0"/>
        <v>0.31769124325364828</v>
      </c>
    </row>
    <row r="44" spans="1:6">
      <c r="A44" s="12">
        <v>119.08</v>
      </c>
      <c r="B44" s="13">
        <v>105</v>
      </c>
      <c r="C44" s="13">
        <v>18.25</v>
      </c>
      <c r="D44" s="13">
        <v>18.649999999999999</v>
      </c>
      <c r="E44" s="13">
        <v>238</v>
      </c>
      <c r="F44" s="13">
        <f t="shared" si="0"/>
        <v>0.30434999149292707</v>
      </c>
    </row>
    <row r="45" spans="1:6">
      <c r="A45" s="12">
        <v>119.08</v>
      </c>
      <c r="B45" s="13">
        <v>110</v>
      </c>
      <c r="C45" s="13">
        <v>14.95</v>
      </c>
      <c r="D45" s="13">
        <v>15.3</v>
      </c>
      <c r="E45" s="13">
        <v>238</v>
      </c>
      <c r="F45" s="13">
        <f t="shared" si="0"/>
        <v>0.29473756905645132</v>
      </c>
    </row>
    <row r="46" spans="1:6">
      <c r="A46" s="12">
        <v>119.08</v>
      </c>
      <c r="B46" s="13">
        <v>115</v>
      </c>
      <c r="C46" s="13">
        <v>11.95</v>
      </c>
      <c r="D46" s="13">
        <v>12.15</v>
      </c>
      <c r="E46" s="13">
        <v>238</v>
      </c>
      <c r="F46" s="13">
        <f t="shared" si="0"/>
        <v>0.28315148781985044</v>
      </c>
    </row>
    <row r="47" spans="1:6">
      <c r="A47" s="12">
        <v>119.08</v>
      </c>
      <c r="B47" s="13">
        <v>120</v>
      </c>
      <c r="C47" s="13">
        <v>9.3000000000000007</v>
      </c>
      <c r="D47" s="13">
        <v>9.5500000000000007</v>
      </c>
      <c r="E47" s="13">
        <v>238</v>
      </c>
      <c r="F47" s="13">
        <f t="shared" si="0"/>
        <v>0.27440987061709166</v>
      </c>
    </row>
    <row r="48" spans="1:6">
      <c r="A48" s="12">
        <v>119.08</v>
      </c>
      <c r="B48" s="13">
        <v>125</v>
      </c>
      <c r="C48" s="13">
        <v>7.05</v>
      </c>
      <c r="D48" s="13">
        <v>7.3</v>
      </c>
      <c r="E48" s="13">
        <v>238</v>
      </c>
      <c r="F48" s="13">
        <f t="shared" si="0"/>
        <v>0.2659864304587245</v>
      </c>
    </row>
    <row r="49" spans="1:6">
      <c r="A49" s="12">
        <v>119.08</v>
      </c>
      <c r="B49" s="13">
        <v>130</v>
      </c>
      <c r="C49" s="13">
        <v>5.2</v>
      </c>
      <c r="D49" s="13">
        <v>5.45</v>
      </c>
      <c r="E49" s="13">
        <v>238</v>
      </c>
      <c r="F49" s="13">
        <f t="shared" si="0"/>
        <v>0.25857737753540277</v>
      </c>
    </row>
    <row r="50" spans="1:6">
      <c r="A50" s="12">
        <v>119.08</v>
      </c>
      <c r="B50" s="13">
        <v>135</v>
      </c>
      <c r="C50" s="13">
        <v>3.75</v>
      </c>
      <c r="D50" s="13">
        <v>3.9</v>
      </c>
      <c r="E50" s="13">
        <v>238</v>
      </c>
      <c r="F50" s="13">
        <f t="shared" si="0"/>
        <v>0.25126042310148478</v>
      </c>
    </row>
    <row r="51" spans="1:6">
      <c r="A51" s="12">
        <v>119.08</v>
      </c>
      <c r="B51" s="13">
        <v>140</v>
      </c>
      <c r="C51" s="13">
        <v>2.67</v>
      </c>
      <c r="D51" s="13">
        <v>2.82</v>
      </c>
      <c r="E51" s="13">
        <v>238</v>
      </c>
      <c r="F51" s="13">
        <f t="shared" si="0"/>
        <v>0.24745300877839327</v>
      </c>
    </row>
    <row r="52" spans="1:6">
      <c r="A52" s="12">
        <v>119.08</v>
      </c>
      <c r="B52" s="13">
        <v>145</v>
      </c>
      <c r="C52" s="13">
        <v>1.82</v>
      </c>
      <c r="D52" s="13">
        <v>1.99</v>
      </c>
      <c r="E52" s="13">
        <v>238</v>
      </c>
      <c r="F52" s="13">
        <f t="shared" si="0"/>
        <v>0.24304188322275877</v>
      </c>
    </row>
    <row r="53" spans="1:6">
      <c r="A53" s="12">
        <v>119.08</v>
      </c>
      <c r="B53" s="13">
        <v>150</v>
      </c>
      <c r="C53" s="13">
        <v>1.24</v>
      </c>
      <c r="D53" s="13">
        <v>1.33</v>
      </c>
      <c r="E53" s="13">
        <v>238</v>
      </c>
      <c r="F53" s="13">
        <f t="shared" si="0"/>
        <v>0.23877253290265799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4:L56"/>
  <sheetViews>
    <sheetView workbookViewId="0">
      <selection activeCell="I5" sqref="I5"/>
    </sheetView>
  </sheetViews>
  <sheetFormatPr defaultColWidth="8.8984375" defaultRowHeight="15.6"/>
  <sheetData>
    <row r="4" spans="1:12">
      <c r="A4" t="s">
        <v>1</v>
      </c>
      <c r="B4" t="s">
        <v>308</v>
      </c>
      <c r="C4" t="s">
        <v>7</v>
      </c>
      <c r="D4" t="s">
        <v>8</v>
      </c>
      <c r="E4" t="s">
        <v>309</v>
      </c>
      <c r="F4" t="s">
        <v>310</v>
      </c>
      <c r="H4" t="s">
        <v>308</v>
      </c>
      <c r="I4" t="s">
        <v>312</v>
      </c>
      <c r="J4" t="s">
        <v>309</v>
      </c>
      <c r="K4" t="s">
        <v>313</v>
      </c>
      <c r="L4" t="s">
        <v>314</v>
      </c>
    </row>
    <row r="5" spans="1:12">
      <c r="A5">
        <v>119.08</v>
      </c>
      <c r="B5">
        <v>90</v>
      </c>
      <c r="C5">
        <v>29</v>
      </c>
      <c r="D5">
        <v>29.15</v>
      </c>
      <c r="E5">
        <v>56</v>
      </c>
      <c r="F5">
        <v>0.41511822957545519</v>
      </c>
      <c r="H5">
        <f>B5</f>
        <v>90</v>
      </c>
      <c r="I5">
        <f>H5^2</f>
        <v>8100</v>
      </c>
      <c r="J5">
        <f>E5/365</f>
        <v>0.15342465753424658</v>
      </c>
      <c r="K5">
        <f>J5^2</f>
        <v>2.3539125539500848E-2</v>
      </c>
      <c r="L5">
        <f>H5*J5</f>
        <v>13.808219178082192</v>
      </c>
    </row>
    <row r="6" spans="1:12">
      <c r="A6">
        <v>119.08</v>
      </c>
      <c r="B6">
        <v>95</v>
      </c>
      <c r="C6">
        <v>24.05</v>
      </c>
      <c r="D6">
        <v>24.3</v>
      </c>
      <c r="E6">
        <v>56</v>
      </c>
      <c r="F6">
        <v>0.36813717801123857</v>
      </c>
      <c r="H6">
        <f t="shared" ref="H6:H56" si="0">B6</f>
        <v>95</v>
      </c>
      <c r="I6">
        <f t="shared" ref="I6:I56" si="1">H6^2</f>
        <v>9025</v>
      </c>
      <c r="J6">
        <f t="shared" ref="J6:J56" si="2">E6/365</f>
        <v>0.15342465753424658</v>
      </c>
      <c r="K6">
        <f t="shared" ref="K6:K56" si="3">J6^2</f>
        <v>2.3539125539500848E-2</v>
      </c>
      <c r="L6">
        <f t="shared" ref="L6:L56" si="4">H6*J6</f>
        <v>14.575342465753426</v>
      </c>
    </row>
    <row r="7" spans="1:12">
      <c r="A7">
        <v>119.08</v>
      </c>
      <c r="B7">
        <v>100</v>
      </c>
      <c r="C7">
        <v>19.3</v>
      </c>
      <c r="D7">
        <v>19.55</v>
      </c>
      <c r="E7">
        <v>56</v>
      </c>
      <c r="F7">
        <v>0.33695905935019255</v>
      </c>
      <c r="H7">
        <f t="shared" si="0"/>
        <v>100</v>
      </c>
      <c r="I7">
        <f t="shared" si="1"/>
        <v>10000</v>
      </c>
      <c r="J7">
        <f t="shared" si="2"/>
        <v>0.15342465753424658</v>
      </c>
      <c r="K7">
        <f t="shared" si="3"/>
        <v>2.3539125539500848E-2</v>
      </c>
      <c r="L7">
        <f t="shared" si="4"/>
        <v>15.342465753424658</v>
      </c>
    </row>
    <row r="8" spans="1:12">
      <c r="A8">
        <v>119.08</v>
      </c>
      <c r="B8">
        <v>105</v>
      </c>
      <c r="C8">
        <v>14.75</v>
      </c>
      <c r="D8">
        <v>14.9</v>
      </c>
      <c r="E8">
        <v>56</v>
      </c>
      <c r="F8">
        <v>0.30529332812875509</v>
      </c>
      <c r="H8">
        <f t="shared" si="0"/>
        <v>105</v>
      </c>
      <c r="I8">
        <f t="shared" si="1"/>
        <v>11025</v>
      </c>
      <c r="J8">
        <f t="shared" si="2"/>
        <v>0.15342465753424658</v>
      </c>
      <c r="K8">
        <f t="shared" si="3"/>
        <v>2.3539125539500848E-2</v>
      </c>
      <c r="L8">
        <f t="shared" si="4"/>
        <v>16.109589041095891</v>
      </c>
    </row>
    <row r="9" spans="1:12">
      <c r="A9">
        <v>119.08</v>
      </c>
      <c r="B9">
        <v>110</v>
      </c>
      <c r="C9">
        <v>10.6</v>
      </c>
      <c r="D9">
        <v>10.7</v>
      </c>
      <c r="E9">
        <v>56</v>
      </c>
      <c r="F9">
        <v>0.28581649530678988</v>
      </c>
      <c r="H9">
        <f t="shared" si="0"/>
        <v>110</v>
      </c>
      <c r="I9">
        <f t="shared" si="1"/>
        <v>12100</v>
      </c>
      <c r="J9">
        <f t="shared" si="2"/>
        <v>0.15342465753424658</v>
      </c>
      <c r="K9">
        <f t="shared" si="3"/>
        <v>2.3539125539500848E-2</v>
      </c>
      <c r="L9">
        <f t="shared" si="4"/>
        <v>16.876712328767123</v>
      </c>
    </row>
    <row r="10" spans="1:12">
      <c r="A10">
        <v>119.08</v>
      </c>
      <c r="B10">
        <v>115</v>
      </c>
      <c r="C10">
        <v>7</v>
      </c>
      <c r="D10">
        <v>7.1</v>
      </c>
      <c r="E10">
        <v>56</v>
      </c>
      <c r="F10">
        <v>0.27011450845748186</v>
      </c>
      <c r="H10">
        <f t="shared" si="0"/>
        <v>115</v>
      </c>
      <c r="I10">
        <f t="shared" si="1"/>
        <v>13225</v>
      </c>
      <c r="J10">
        <f t="shared" si="2"/>
        <v>0.15342465753424658</v>
      </c>
      <c r="K10">
        <f t="shared" si="3"/>
        <v>2.3539125539500848E-2</v>
      </c>
      <c r="L10">
        <f t="shared" si="4"/>
        <v>17.643835616438356</v>
      </c>
    </row>
    <row r="11" spans="1:12">
      <c r="A11">
        <v>119.08</v>
      </c>
      <c r="B11">
        <v>120</v>
      </c>
      <c r="C11">
        <v>4.1500000000000004</v>
      </c>
      <c r="D11">
        <v>4.2</v>
      </c>
      <c r="E11">
        <v>56</v>
      </c>
      <c r="F11">
        <v>0.25523035321384668</v>
      </c>
      <c r="H11">
        <f t="shared" si="0"/>
        <v>120</v>
      </c>
      <c r="I11">
        <f t="shared" si="1"/>
        <v>14400</v>
      </c>
      <c r="J11">
        <f t="shared" si="2"/>
        <v>0.15342465753424658</v>
      </c>
      <c r="K11">
        <f t="shared" si="3"/>
        <v>2.3539125539500848E-2</v>
      </c>
      <c r="L11">
        <f t="shared" si="4"/>
        <v>18.410958904109592</v>
      </c>
    </row>
    <row r="12" spans="1:12">
      <c r="A12">
        <v>119.08</v>
      </c>
      <c r="B12">
        <v>125</v>
      </c>
      <c r="C12">
        <v>2.19</v>
      </c>
      <c r="D12">
        <v>2.2000000000000002</v>
      </c>
      <c r="E12">
        <v>56</v>
      </c>
      <c r="F12">
        <v>0.24474289733916521</v>
      </c>
      <c r="H12">
        <f t="shared" si="0"/>
        <v>125</v>
      </c>
      <c r="I12">
        <f t="shared" si="1"/>
        <v>15625</v>
      </c>
      <c r="J12">
        <f t="shared" si="2"/>
        <v>0.15342465753424658</v>
      </c>
      <c r="K12">
        <f t="shared" si="3"/>
        <v>2.3539125539500848E-2</v>
      </c>
      <c r="L12">
        <f t="shared" si="4"/>
        <v>19.178082191780824</v>
      </c>
    </row>
    <row r="13" spans="1:12">
      <c r="A13">
        <v>119.08</v>
      </c>
      <c r="B13">
        <v>130</v>
      </c>
      <c r="C13">
        <v>1.06</v>
      </c>
      <c r="D13">
        <v>1.08</v>
      </c>
      <c r="E13">
        <v>56</v>
      </c>
      <c r="F13">
        <v>0.24170820135623217</v>
      </c>
      <c r="H13">
        <f t="shared" si="0"/>
        <v>130</v>
      </c>
      <c r="I13">
        <f t="shared" si="1"/>
        <v>16900</v>
      </c>
      <c r="J13">
        <f t="shared" si="2"/>
        <v>0.15342465753424658</v>
      </c>
      <c r="K13">
        <f t="shared" si="3"/>
        <v>2.3539125539500848E-2</v>
      </c>
      <c r="L13">
        <f t="shared" si="4"/>
        <v>19.945205479452056</v>
      </c>
    </row>
    <row r="14" spans="1:12">
      <c r="A14">
        <v>119.08</v>
      </c>
      <c r="B14">
        <v>135</v>
      </c>
      <c r="C14">
        <v>0.48</v>
      </c>
      <c r="D14">
        <v>0.5</v>
      </c>
      <c r="E14">
        <v>56</v>
      </c>
      <c r="F14">
        <v>0.24195429403334856</v>
      </c>
      <c r="H14">
        <f t="shared" si="0"/>
        <v>135</v>
      </c>
      <c r="I14">
        <f t="shared" si="1"/>
        <v>18225</v>
      </c>
      <c r="J14">
        <f t="shared" si="2"/>
        <v>0.15342465753424658</v>
      </c>
      <c r="K14">
        <f t="shared" si="3"/>
        <v>2.3539125539500848E-2</v>
      </c>
      <c r="L14">
        <f t="shared" si="4"/>
        <v>20.712328767123289</v>
      </c>
    </row>
    <row r="15" spans="1:12">
      <c r="A15">
        <v>119.08</v>
      </c>
      <c r="B15">
        <v>140</v>
      </c>
      <c r="C15">
        <v>0.22</v>
      </c>
      <c r="D15">
        <v>0.25</v>
      </c>
      <c r="E15">
        <v>56</v>
      </c>
      <c r="F15">
        <v>0.24831830058246851</v>
      </c>
      <c r="H15">
        <f t="shared" si="0"/>
        <v>140</v>
      </c>
      <c r="I15">
        <f t="shared" si="1"/>
        <v>19600</v>
      </c>
      <c r="J15">
        <f t="shared" si="2"/>
        <v>0.15342465753424658</v>
      </c>
      <c r="K15">
        <f t="shared" si="3"/>
        <v>2.3539125539500848E-2</v>
      </c>
      <c r="L15">
        <f t="shared" si="4"/>
        <v>21.479452054794521</v>
      </c>
    </row>
    <row r="16" spans="1:12">
      <c r="A16">
        <v>119.08</v>
      </c>
      <c r="B16">
        <v>145</v>
      </c>
      <c r="C16">
        <v>0.11</v>
      </c>
      <c r="D16">
        <v>0.14000000000000001</v>
      </c>
      <c r="E16">
        <v>56</v>
      </c>
      <c r="F16">
        <v>0.25944441091269255</v>
      </c>
      <c r="H16">
        <f t="shared" si="0"/>
        <v>145</v>
      </c>
      <c r="I16">
        <f t="shared" si="1"/>
        <v>21025</v>
      </c>
      <c r="J16">
        <f t="shared" si="2"/>
        <v>0.15342465753424658</v>
      </c>
      <c r="K16">
        <f t="shared" si="3"/>
        <v>2.3539125539500848E-2</v>
      </c>
      <c r="L16">
        <f t="shared" si="4"/>
        <v>22.246575342465754</v>
      </c>
    </row>
    <row r="17" spans="1:12">
      <c r="A17">
        <v>119.08</v>
      </c>
      <c r="B17">
        <v>150</v>
      </c>
      <c r="C17">
        <v>7.0000000000000007E-2</v>
      </c>
      <c r="D17">
        <v>0.09</v>
      </c>
      <c r="E17">
        <v>56</v>
      </c>
      <c r="F17">
        <v>0.27637777384370565</v>
      </c>
      <c r="H17">
        <f t="shared" si="0"/>
        <v>150</v>
      </c>
      <c r="I17">
        <f t="shared" si="1"/>
        <v>22500</v>
      </c>
      <c r="J17">
        <f t="shared" si="2"/>
        <v>0.15342465753424658</v>
      </c>
      <c r="K17">
        <f t="shared" si="3"/>
        <v>2.3539125539500848E-2</v>
      </c>
      <c r="L17">
        <f t="shared" si="4"/>
        <v>23.013698630136986</v>
      </c>
    </row>
    <row r="18" spans="1:12">
      <c r="A18">
        <v>119.08</v>
      </c>
      <c r="B18">
        <v>90</v>
      </c>
      <c r="C18">
        <v>29.35</v>
      </c>
      <c r="D18">
        <v>29.7</v>
      </c>
      <c r="E18">
        <v>119</v>
      </c>
      <c r="F18">
        <v>0.38047262001782656</v>
      </c>
      <c r="H18">
        <f t="shared" si="0"/>
        <v>90</v>
      </c>
      <c r="I18">
        <f t="shared" si="1"/>
        <v>8100</v>
      </c>
      <c r="J18">
        <f t="shared" si="2"/>
        <v>0.32602739726027397</v>
      </c>
      <c r="K18">
        <f t="shared" si="3"/>
        <v>0.10629386376430849</v>
      </c>
      <c r="L18">
        <f t="shared" si="4"/>
        <v>29.342465753424658</v>
      </c>
    </row>
    <row r="19" spans="1:12">
      <c r="A19">
        <v>119.08</v>
      </c>
      <c r="B19">
        <v>95</v>
      </c>
      <c r="C19">
        <v>24.75</v>
      </c>
      <c r="D19">
        <v>25.05</v>
      </c>
      <c r="E19">
        <v>119</v>
      </c>
      <c r="F19">
        <v>0.35222214180976152</v>
      </c>
      <c r="H19">
        <f t="shared" si="0"/>
        <v>95</v>
      </c>
      <c r="I19">
        <f t="shared" si="1"/>
        <v>9025</v>
      </c>
      <c r="J19">
        <f t="shared" si="2"/>
        <v>0.32602739726027397</v>
      </c>
      <c r="K19">
        <f t="shared" si="3"/>
        <v>0.10629386376430849</v>
      </c>
      <c r="L19">
        <f t="shared" si="4"/>
        <v>30.972602739726028</v>
      </c>
    </row>
    <row r="20" spans="1:12">
      <c r="A20">
        <v>119.08</v>
      </c>
      <c r="B20">
        <v>100</v>
      </c>
      <c r="C20">
        <v>20.350000000000001</v>
      </c>
      <c r="D20">
        <v>20.6</v>
      </c>
      <c r="E20">
        <v>119</v>
      </c>
      <c r="F20">
        <v>0.32879560720175505</v>
      </c>
      <c r="H20">
        <f t="shared" si="0"/>
        <v>100</v>
      </c>
      <c r="I20">
        <f t="shared" si="1"/>
        <v>10000</v>
      </c>
      <c r="J20">
        <f t="shared" si="2"/>
        <v>0.32602739726027397</v>
      </c>
      <c r="K20">
        <f t="shared" si="3"/>
        <v>0.10629386376430849</v>
      </c>
      <c r="L20">
        <f t="shared" si="4"/>
        <v>32.602739726027394</v>
      </c>
    </row>
    <row r="21" spans="1:12">
      <c r="A21">
        <v>119.08</v>
      </c>
      <c r="B21">
        <v>105</v>
      </c>
      <c r="C21">
        <v>16.2</v>
      </c>
      <c r="D21">
        <v>16.5</v>
      </c>
      <c r="E21">
        <v>119</v>
      </c>
      <c r="F21">
        <v>0.31024740543216467</v>
      </c>
      <c r="H21">
        <f t="shared" si="0"/>
        <v>105</v>
      </c>
      <c r="I21">
        <f t="shared" si="1"/>
        <v>11025</v>
      </c>
      <c r="J21">
        <f t="shared" si="2"/>
        <v>0.32602739726027397</v>
      </c>
      <c r="K21">
        <f t="shared" si="3"/>
        <v>0.10629386376430849</v>
      </c>
      <c r="L21">
        <f t="shared" si="4"/>
        <v>34.232876712328768</v>
      </c>
    </row>
    <row r="22" spans="1:12">
      <c r="A22">
        <v>119.08</v>
      </c>
      <c r="B22">
        <v>110</v>
      </c>
      <c r="C22">
        <v>12.5</v>
      </c>
      <c r="D22">
        <v>12.7</v>
      </c>
      <c r="E22">
        <v>119</v>
      </c>
      <c r="F22">
        <v>0.29459397774189711</v>
      </c>
      <c r="H22">
        <f t="shared" si="0"/>
        <v>110</v>
      </c>
      <c r="I22">
        <f t="shared" si="1"/>
        <v>12100</v>
      </c>
      <c r="J22">
        <f t="shared" si="2"/>
        <v>0.32602739726027397</v>
      </c>
      <c r="K22">
        <f t="shared" si="3"/>
        <v>0.10629386376430849</v>
      </c>
      <c r="L22">
        <f t="shared" si="4"/>
        <v>35.863013698630134</v>
      </c>
    </row>
    <row r="23" spans="1:12">
      <c r="A23">
        <v>119.08</v>
      </c>
      <c r="B23">
        <v>115</v>
      </c>
      <c r="C23">
        <v>9.1999999999999993</v>
      </c>
      <c r="D23">
        <v>9.35</v>
      </c>
      <c r="E23">
        <v>119</v>
      </c>
      <c r="F23">
        <v>0.27971104253083467</v>
      </c>
      <c r="H23">
        <f t="shared" si="0"/>
        <v>115</v>
      </c>
      <c r="I23">
        <f t="shared" si="1"/>
        <v>13225</v>
      </c>
      <c r="J23">
        <f t="shared" si="2"/>
        <v>0.32602739726027397</v>
      </c>
      <c r="K23">
        <f t="shared" si="3"/>
        <v>0.10629386376430849</v>
      </c>
      <c r="L23">
        <f t="shared" si="4"/>
        <v>37.493150684931507</v>
      </c>
    </row>
    <row r="24" spans="1:12">
      <c r="A24">
        <v>119.08</v>
      </c>
      <c r="B24">
        <v>120</v>
      </c>
      <c r="C24">
        <v>6.55</v>
      </c>
      <c r="D24">
        <v>6.65</v>
      </c>
      <c r="E24">
        <v>119</v>
      </c>
      <c r="F24">
        <v>0.27102038729935884</v>
      </c>
      <c r="H24">
        <f t="shared" si="0"/>
        <v>120</v>
      </c>
      <c r="I24">
        <f t="shared" si="1"/>
        <v>14400</v>
      </c>
      <c r="J24">
        <f t="shared" si="2"/>
        <v>0.32602739726027397</v>
      </c>
      <c r="K24">
        <f t="shared" si="3"/>
        <v>0.10629386376430849</v>
      </c>
      <c r="L24">
        <f t="shared" si="4"/>
        <v>39.123287671232873</v>
      </c>
    </row>
    <row r="25" spans="1:12">
      <c r="A25">
        <v>119.08</v>
      </c>
      <c r="B25">
        <v>125</v>
      </c>
      <c r="C25">
        <v>4.3499999999999996</v>
      </c>
      <c r="D25">
        <v>4.45</v>
      </c>
      <c r="E25">
        <v>119</v>
      </c>
      <c r="F25">
        <v>0.26029567699879408</v>
      </c>
      <c r="H25">
        <f t="shared" si="0"/>
        <v>125</v>
      </c>
      <c r="I25">
        <f t="shared" si="1"/>
        <v>15625</v>
      </c>
      <c r="J25">
        <f t="shared" si="2"/>
        <v>0.32602739726027397</v>
      </c>
      <c r="K25">
        <f t="shared" si="3"/>
        <v>0.10629386376430849</v>
      </c>
      <c r="L25">
        <f t="shared" si="4"/>
        <v>40.753424657534246</v>
      </c>
    </row>
    <row r="26" spans="1:12">
      <c r="A26">
        <v>119.08</v>
      </c>
      <c r="B26">
        <v>130</v>
      </c>
      <c r="C26">
        <v>2.8</v>
      </c>
      <c r="D26">
        <v>2.85</v>
      </c>
      <c r="E26">
        <v>119</v>
      </c>
      <c r="F26">
        <v>0.25377921294420958</v>
      </c>
      <c r="H26">
        <f t="shared" si="0"/>
        <v>130</v>
      </c>
      <c r="I26">
        <f t="shared" si="1"/>
        <v>16900</v>
      </c>
      <c r="J26">
        <f t="shared" si="2"/>
        <v>0.32602739726027397</v>
      </c>
      <c r="K26">
        <f t="shared" si="3"/>
        <v>0.10629386376430849</v>
      </c>
      <c r="L26">
        <f t="shared" si="4"/>
        <v>42.383561643835613</v>
      </c>
    </row>
    <row r="27" spans="1:12">
      <c r="A27">
        <v>119.08</v>
      </c>
      <c r="B27">
        <v>135</v>
      </c>
      <c r="C27">
        <v>1.69</v>
      </c>
      <c r="D27">
        <v>1.77</v>
      </c>
      <c r="E27">
        <v>119</v>
      </c>
      <c r="F27">
        <v>0.24861605372279882</v>
      </c>
      <c r="H27">
        <f t="shared" si="0"/>
        <v>135</v>
      </c>
      <c r="I27">
        <f t="shared" si="1"/>
        <v>18225</v>
      </c>
      <c r="J27">
        <f t="shared" si="2"/>
        <v>0.32602739726027397</v>
      </c>
      <c r="K27">
        <f t="shared" si="3"/>
        <v>0.10629386376430849</v>
      </c>
      <c r="L27">
        <f t="shared" si="4"/>
        <v>44.013698630136986</v>
      </c>
    </row>
    <row r="28" spans="1:12">
      <c r="A28">
        <v>119.08</v>
      </c>
      <c r="B28">
        <v>140</v>
      </c>
      <c r="C28">
        <v>1.01</v>
      </c>
      <c r="D28">
        <v>1.08</v>
      </c>
      <c r="E28">
        <v>119</v>
      </c>
      <c r="F28">
        <v>0.24679151829332113</v>
      </c>
      <c r="H28">
        <f t="shared" si="0"/>
        <v>140</v>
      </c>
      <c r="I28">
        <f t="shared" si="1"/>
        <v>19600</v>
      </c>
      <c r="J28">
        <f t="shared" si="2"/>
        <v>0.32602739726027397</v>
      </c>
      <c r="K28">
        <f t="shared" si="3"/>
        <v>0.10629386376430849</v>
      </c>
      <c r="L28">
        <f t="shared" si="4"/>
        <v>45.643835616438352</v>
      </c>
    </row>
    <row r="29" spans="1:12">
      <c r="A29">
        <v>119.08</v>
      </c>
      <c r="B29">
        <v>145</v>
      </c>
      <c r="C29">
        <v>0.62</v>
      </c>
      <c r="D29">
        <v>0.66</v>
      </c>
      <c r="E29">
        <v>119</v>
      </c>
      <c r="F29">
        <v>0.24819867219775915</v>
      </c>
      <c r="H29">
        <f t="shared" si="0"/>
        <v>145</v>
      </c>
      <c r="I29">
        <f t="shared" si="1"/>
        <v>21025</v>
      </c>
      <c r="J29">
        <f t="shared" si="2"/>
        <v>0.32602739726027397</v>
      </c>
      <c r="K29">
        <f t="shared" si="3"/>
        <v>0.10629386376430849</v>
      </c>
      <c r="L29">
        <f t="shared" si="4"/>
        <v>47.273972602739725</v>
      </c>
    </row>
    <row r="30" spans="1:12">
      <c r="A30">
        <v>119.08</v>
      </c>
      <c r="B30">
        <v>150</v>
      </c>
      <c r="C30">
        <v>0.36</v>
      </c>
      <c r="D30">
        <v>0.45</v>
      </c>
      <c r="E30">
        <v>119</v>
      </c>
      <c r="F30">
        <v>0.25221166666597128</v>
      </c>
      <c r="H30">
        <f t="shared" si="0"/>
        <v>150</v>
      </c>
      <c r="I30">
        <f t="shared" si="1"/>
        <v>22500</v>
      </c>
      <c r="J30">
        <f t="shared" si="2"/>
        <v>0.32602739726027397</v>
      </c>
      <c r="K30">
        <f t="shared" si="3"/>
        <v>0.10629386376430849</v>
      </c>
      <c r="L30">
        <f t="shared" si="4"/>
        <v>48.904109589041092</v>
      </c>
    </row>
    <row r="31" spans="1:12">
      <c r="A31">
        <v>119.08</v>
      </c>
      <c r="B31">
        <v>90</v>
      </c>
      <c r="C31">
        <v>29.7</v>
      </c>
      <c r="D31">
        <v>30.05</v>
      </c>
      <c r="E31">
        <v>175</v>
      </c>
      <c r="F31">
        <v>0.35802929196506739</v>
      </c>
      <c r="H31">
        <f t="shared" si="0"/>
        <v>90</v>
      </c>
      <c r="I31">
        <f t="shared" si="1"/>
        <v>8100</v>
      </c>
      <c r="J31">
        <f t="shared" si="2"/>
        <v>0.47945205479452052</v>
      </c>
      <c r="K31">
        <f t="shared" si="3"/>
        <v>0.2298742728466879</v>
      </c>
      <c r="L31">
        <f t="shared" si="4"/>
        <v>43.150684931506845</v>
      </c>
    </row>
    <row r="32" spans="1:12">
      <c r="A32">
        <v>119.08</v>
      </c>
      <c r="B32">
        <v>95</v>
      </c>
      <c r="C32">
        <v>25.25</v>
      </c>
      <c r="D32">
        <v>25.65</v>
      </c>
      <c r="E32">
        <v>175</v>
      </c>
      <c r="F32">
        <v>0.33718574326485395</v>
      </c>
      <c r="H32">
        <f t="shared" si="0"/>
        <v>95</v>
      </c>
      <c r="I32">
        <f t="shared" si="1"/>
        <v>9025</v>
      </c>
      <c r="J32">
        <f t="shared" si="2"/>
        <v>0.47945205479452052</v>
      </c>
      <c r="K32">
        <f t="shared" si="3"/>
        <v>0.2298742728466879</v>
      </c>
      <c r="L32">
        <f t="shared" si="4"/>
        <v>45.547945205479451</v>
      </c>
    </row>
    <row r="33" spans="1:12">
      <c r="A33">
        <v>119.08</v>
      </c>
      <c r="B33">
        <v>100</v>
      </c>
      <c r="C33">
        <v>21</v>
      </c>
      <c r="D33">
        <v>21.35</v>
      </c>
      <c r="E33">
        <v>175</v>
      </c>
      <c r="F33">
        <v>0.31599333044141531</v>
      </c>
      <c r="H33">
        <f t="shared" si="0"/>
        <v>100</v>
      </c>
      <c r="I33">
        <f t="shared" si="1"/>
        <v>10000</v>
      </c>
      <c r="J33">
        <f t="shared" si="2"/>
        <v>0.47945205479452052</v>
      </c>
      <c r="K33">
        <f t="shared" si="3"/>
        <v>0.2298742728466879</v>
      </c>
      <c r="L33">
        <f t="shared" si="4"/>
        <v>47.945205479452049</v>
      </c>
    </row>
    <row r="34" spans="1:12">
      <c r="A34">
        <v>119.08</v>
      </c>
      <c r="B34">
        <v>105</v>
      </c>
      <c r="C34">
        <v>17.149999999999999</v>
      </c>
      <c r="D34">
        <v>17.399999999999999</v>
      </c>
      <c r="E34">
        <v>175</v>
      </c>
      <c r="F34">
        <v>0.30159332323819399</v>
      </c>
      <c r="H34">
        <f t="shared" si="0"/>
        <v>105</v>
      </c>
      <c r="I34">
        <f t="shared" si="1"/>
        <v>11025</v>
      </c>
      <c r="J34">
        <f t="shared" si="2"/>
        <v>0.47945205479452052</v>
      </c>
      <c r="K34">
        <f t="shared" si="3"/>
        <v>0.2298742728466879</v>
      </c>
      <c r="L34">
        <f t="shared" si="4"/>
        <v>50.342465753424655</v>
      </c>
    </row>
    <row r="35" spans="1:12">
      <c r="A35">
        <v>119.08</v>
      </c>
      <c r="B35">
        <v>110</v>
      </c>
      <c r="C35">
        <v>13.65</v>
      </c>
      <c r="D35">
        <v>13.85</v>
      </c>
      <c r="E35">
        <v>175</v>
      </c>
      <c r="F35">
        <v>0.28975703287869692</v>
      </c>
      <c r="H35">
        <f t="shared" si="0"/>
        <v>110</v>
      </c>
      <c r="I35">
        <f t="shared" si="1"/>
        <v>12100</v>
      </c>
      <c r="J35">
        <f t="shared" si="2"/>
        <v>0.47945205479452052</v>
      </c>
      <c r="K35">
        <f t="shared" si="3"/>
        <v>0.2298742728466879</v>
      </c>
      <c r="L35">
        <f t="shared" si="4"/>
        <v>52.739726027397261</v>
      </c>
    </row>
    <row r="36" spans="1:12">
      <c r="A36">
        <v>119.08</v>
      </c>
      <c r="B36">
        <v>115</v>
      </c>
      <c r="C36">
        <v>10.5</v>
      </c>
      <c r="D36">
        <v>10.7</v>
      </c>
      <c r="E36">
        <v>175</v>
      </c>
      <c r="F36">
        <v>0.27820318471640348</v>
      </c>
      <c r="H36">
        <f t="shared" si="0"/>
        <v>115</v>
      </c>
      <c r="I36">
        <f t="shared" si="1"/>
        <v>13225</v>
      </c>
      <c r="J36">
        <f t="shared" si="2"/>
        <v>0.47945205479452052</v>
      </c>
      <c r="K36">
        <f t="shared" si="3"/>
        <v>0.2298742728466879</v>
      </c>
      <c r="L36">
        <f t="shared" si="4"/>
        <v>55.136986301369859</v>
      </c>
    </row>
    <row r="37" spans="1:12">
      <c r="A37">
        <v>119.08</v>
      </c>
      <c r="B37">
        <v>120</v>
      </c>
      <c r="C37">
        <v>7.85</v>
      </c>
      <c r="D37">
        <v>8.0500000000000007</v>
      </c>
      <c r="E37">
        <v>175</v>
      </c>
      <c r="F37">
        <v>0.26943186763674021</v>
      </c>
      <c r="H37">
        <f t="shared" si="0"/>
        <v>120</v>
      </c>
      <c r="I37">
        <f t="shared" si="1"/>
        <v>14400</v>
      </c>
      <c r="J37">
        <f t="shared" si="2"/>
        <v>0.47945205479452052</v>
      </c>
      <c r="K37">
        <f t="shared" si="3"/>
        <v>0.2298742728466879</v>
      </c>
      <c r="L37">
        <f t="shared" si="4"/>
        <v>57.534246575342465</v>
      </c>
    </row>
    <row r="38" spans="1:12">
      <c r="A38">
        <v>119.08</v>
      </c>
      <c r="B38">
        <v>125</v>
      </c>
      <c r="C38">
        <v>5.6</v>
      </c>
      <c r="D38">
        <v>5.8</v>
      </c>
      <c r="E38">
        <v>175</v>
      </c>
      <c r="F38">
        <v>0.25955301243811846</v>
      </c>
      <c r="H38">
        <f t="shared" si="0"/>
        <v>125</v>
      </c>
      <c r="I38">
        <f t="shared" si="1"/>
        <v>15625</v>
      </c>
      <c r="J38">
        <f t="shared" si="2"/>
        <v>0.47945205479452052</v>
      </c>
      <c r="K38">
        <f t="shared" si="3"/>
        <v>0.2298742728466879</v>
      </c>
      <c r="L38">
        <f t="shared" si="4"/>
        <v>59.931506849315063</v>
      </c>
    </row>
    <row r="39" spans="1:12">
      <c r="A39">
        <v>119.08</v>
      </c>
      <c r="B39">
        <v>130</v>
      </c>
      <c r="C39">
        <v>3.85</v>
      </c>
      <c r="D39">
        <v>4.05</v>
      </c>
      <c r="E39">
        <v>175</v>
      </c>
      <c r="F39">
        <v>0.25174431968480349</v>
      </c>
      <c r="H39">
        <f t="shared" si="0"/>
        <v>130</v>
      </c>
      <c r="I39">
        <f t="shared" si="1"/>
        <v>16900</v>
      </c>
      <c r="J39">
        <f t="shared" si="2"/>
        <v>0.47945205479452052</v>
      </c>
      <c r="K39">
        <f t="shared" si="3"/>
        <v>0.2298742728466879</v>
      </c>
      <c r="L39">
        <f t="shared" si="4"/>
        <v>62.328767123287669</v>
      </c>
    </row>
    <row r="40" spans="1:12">
      <c r="A40">
        <v>119.08</v>
      </c>
      <c r="B40">
        <v>135</v>
      </c>
      <c r="C40">
        <v>2.6</v>
      </c>
      <c r="D40">
        <v>2.73</v>
      </c>
      <c r="E40">
        <v>175</v>
      </c>
      <c r="F40">
        <v>0.24623165372759104</v>
      </c>
      <c r="H40">
        <f t="shared" si="0"/>
        <v>135</v>
      </c>
      <c r="I40">
        <f t="shared" si="1"/>
        <v>18225</v>
      </c>
      <c r="J40">
        <f t="shared" si="2"/>
        <v>0.47945205479452052</v>
      </c>
      <c r="K40">
        <f t="shared" si="3"/>
        <v>0.2298742728466879</v>
      </c>
      <c r="L40">
        <f t="shared" si="4"/>
        <v>64.726027397260268</v>
      </c>
    </row>
    <row r="41" spans="1:12">
      <c r="A41">
        <v>119.08</v>
      </c>
      <c r="B41">
        <v>140</v>
      </c>
      <c r="C41">
        <v>1.68</v>
      </c>
      <c r="D41">
        <v>1.84</v>
      </c>
      <c r="E41">
        <v>175</v>
      </c>
      <c r="F41">
        <v>0.24255629163235426</v>
      </c>
      <c r="H41">
        <f t="shared" si="0"/>
        <v>140</v>
      </c>
      <c r="I41">
        <f t="shared" si="1"/>
        <v>19600</v>
      </c>
      <c r="J41">
        <f t="shared" si="2"/>
        <v>0.47945205479452052</v>
      </c>
      <c r="K41">
        <f t="shared" si="3"/>
        <v>0.2298742728466879</v>
      </c>
      <c r="L41">
        <f t="shared" si="4"/>
        <v>67.123287671232873</v>
      </c>
    </row>
    <row r="42" spans="1:12">
      <c r="A42">
        <v>119.08</v>
      </c>
      <c r="B42">
        <v>145</v>
      </c>
      <c r="C42">
        <v>1.07</v>
      </c>
      <c r="D42">
        <v>1.23</v>
      </c>
      <c r="E42">
        <v>175</v>
      </c>
      <c r="F42">
        <v>0.24066433776170015</v>
      </c>
      <c r="H42">
        <f t="shared" si="0"/>
        <v>145</v>
      </c>
      <c r="I42">
        <f t="shared" si="1"/>
        <v>21025</v>
      </c>
      <c r="J42">
        <f t="shared" si="2"/>
        <v>0.47945205479452052</v>
      </c>
      <c r="K42">
        <f t="shared" si="3"/>
        <v>0.2298742728466879</v>
      </c>
      <c r="L42">
        <f t="shared" si="4"/>
        <v>69.520547945205479</v>
      </c>
    </row>
    <row r="43" spans="1:12">
      <c r="A43">
        <v>119.08</v>
      </c>
      <c r="B43">
        <v>150</v>
      </c>
      <c r="C43">
        <v>0.7</v>
      </c>
      <c r="D43">
        <v>0.82</v>
      </c>
      <c r="E43">
        <v>175</v>
      </c>
      <c r="F43">
        <v>0.2410216024145484</v>
      </c>
      <c r="H43">
        <f t="shared" si="0"/>
        <v>150</v>
      </c>
      <c r="I43">
        <f t="shared" si="1"/>
        <v>22500</v>
      </c>
      <c r="J43">
        <f t="shared" si="2"/>
        <v>0.47945205479452052</v>
      </c>
      <c r="K43">
        <f t="shared" si="3"/>
        <v>0.2298742728466879</v>
      </c>
      <c r="L43">
        <f t="shared" si="4"/>
        <v>71.917808219178085</v>
      </c>
    </row>
    <row r="44" spans="1:12">
      <c r="A44">
        <v>119.08</v>
      </c>
      <c r="B44">
        <v>90</v>
      </c>
      <c r="C44">
        <v>30.15</v>
      </c>
      <c r="D44">
        <v>30.65</v>
      </c>
      <c r="E44">
        <v>238</v>
      </c>
      <c r="F44">
        <v>0.34947108943015337</v>
      </c>
      <c r="H44">
        <f t="shared" si="0"/>
        <v>90</v>
      </c>
      <c r="I44">
        <f t="shared" si="1"/>
        <v>8100</v>
      </c>
      <c r="J44">
        <f t="shared" si="2"/>
        <v>0.65205479452054793</v>
      </c>
      <c r="K44">
        <f t="shared" si="3"/>
        <v>0.42517545505723398</v>
      </c>
      <c r="L44">
        <f t="shared" si="4"/>
        <v>58.684931506849317</v>
      </c>
    </row>
    <row r="45" spans="1:12">
      <c r="A45">
        <v>119.08</v>
      </c>
      <c r="B45">
        <v>95</v>
      </c>
      <c r="C45">
        <v>25.9</v>
      </c>
      <c r="D45">
        <v>26.4</v>
      </c>
      <c r="E45">
        <v>238</v>
      </c>
      <c r="F45">
        <v>0.33167519140988588</v>
      </c>
      <c r="H45">
        <f t="shared" si="0"/>
        <v>95</v>
      </c>
      <c r="I45">
        <f t="shared" si="1"/>
        <v>9025</v>
      </c>
      <c r="J45">
        <f t="shared" si="2"/>
        <v>0.65205479452054793</v>
      </c>
      <c r="K45">
        <f t="shared" si="3"/>
        <v>0.42517545505723398</v>
      </c>
      <c r="L45">
        <f t="shared" si="4"/>
        <v>61.945205479452056</v>
      </c>
    </row>
    <row r="46" spans="1:12">
      <c r="A46">
        <v>119.08</v>
      </c>
      <c r="B46">
        <v>100</v>
      </c>
      <c r="C46">
        <v>21.95</v>
      </c>
      <c r="D46">
        <v>22.4</v>
      </c>
      <c r="E46">
        <v>238</v>
      </c>
      <c r="F46">
        <v>0.31769124325364828</v>
      </c>
      <c r="H46">
        <f t="shared" si="0"/>
        <v>100</v>
      </c>
      <c r="I46">
        <f t="shared" si="1"/>
        <v>10000</v>
      </c>
      <c r="J46">
        <f t="shared" si="2"/>
        <v>0.65205479452054793</v>
      </c>
      <c r="K46">
        <f t="shared" si="3"/>
        <v>0.42517545505723398</v>
      </c>
      <c r="L46">
        <f t="shared" si="4"/>
        <v>65.205479452054789</v>
      </c>
    </row>
    <row r="47" spans="1:12">
      <c r="A47">
        <v>119.08</v>
      </c>
      <c r="B47">
        <v>105</v>
      </c>
      <c r="C47">
        <v>18.25</v>
      </c>
      <c r="D47">
        <v>18.649999999999999</v>
      </c>
      <c r="E47">
        <v>238</v>
      </c>
      <c r="F47">
        <v>0.30434999149292707</v>
      </c>
      <c r="H47">
        <f t="shared" si="0"/>
        <v>105</v>
      </c>
      <c r="I47">
        <f t="shared" si="1"/>
        <v>11025</v>
      </c>
      <c r="J47">
        <f t="shared" si="2"/>
        <v>0.65205479452054793</v>
      </c>
      <c r="K47">
        <f t="shared" si="3"/>
        <v>0.42517545505723398</v>
      </c>
      <c r="L47">
        <f t="shared" si="4"/>
        <v>68.465753424657535</v>
      </c>
    </row>
    <row r="48" spans="1:12">
      <c r="A48">
        <v>119.08</v>
      </c>
      <c r="B48">
        <v>110</v>
      </c>
      <c r="C48">
        <v>14.95</v>
      </c>
      <c r="D48">
        <v>15.3</v>
      </c>
      <c r="E48">
        <v>238</v>
      </c>
      <c r="F48">
        <v>0.29473756905645132</v>
      </c>
      <c r="H48">
        <f t="shared" si="0"/>
        <v>110</v>
      </c>
      <c r="I48">
        <f t="shared" si="1"/>
        <v>12100</v>
      </c>
      <c r="J48">
        <f t="shared" si="2"/>
        <v>0.65205479452054793</v>
      </c>
      <c r="K48">
        <f t="shared" si="3"/>
        <v>0.42517545505723398</v>
      </c>
      <c r="L48">
        <f t="shared" si="4"/>
        <v>71.726027397260268</v>
      </c>
    </row>
    <row r="49" spans="1:12">
      <c r="A49">
        <v>119.08</v>
      </c>
      <c r="B49">
        <v>115</v>
      </c>
      <c r="C49">
        <v>11.95</v>
      </c>
      <c r="D49">
        <v>12.15</v>
      </c>
      <c r="E49">
        <v>238</v>
      </c>
      <c r="F49">
        <v>0.28315148781985044</v>
      </c>
      <c r="H49">
        <f t="shared" si="0"/>
        <v>115</v>
      </c>
      <c r="I49">
        <f t="shared" si="1"/>
        <v>13225</v>
      </c>
      <c r="J49">
        <f t="shared" si="2"/>
        <v>0.65205479452054793</v>
      </c>
      <c r="K49">
        <f t="shared" si="3"/>
        <v>0.42517545505723398</v>
      </c>
      <c r="L49">
        <f t="shared" si="4"/>
        <v>74.986301369863014</v>
      </c>
    </row>
    <row r="50" spans="1:12">
      <c r="A50">
        <v>119.08</v>
      </c>
      <c r="B50">
        <v>120</v>
      </c>
      <c r="C50">
        <v>9.3000000000000007</v>
      </c>
      <c r="D50">
        <v>9.5500000000000007</v>
      </c>
      <c r="E50">
        <v>238</v>
      </c>
      <c r="F50">
        <v>0.27440987061709166</v>
      </c>
      <c r="H50">
        <f t="shared" si="0"/>
        <v>120</v>
      </c>
      <c r="I50">
        <f t="shared" si="1"/>
        <v>14400</v>
      </c>
      <c r="J50">
        <f t="shared" si="2"/>
        <v>0.65205479452054793</v>
      </c>
      <c r="K50">
        <f t="shared" si="3"/>
        <v>0.42517545505723398</v>
      </c>
      <c r="L50">
        <f t="shared" si="4"/>
        <v>78.246575342465746</v>
      </c>
    </row>
    <row r="51" spans="1:12">
      <c r="A51">
        <v>119.08</v>
      </c>
      <c r="B51">
        <v>125</v>
      </c>
      <c r="C51">
        <v>7.05</v>
      </c>
      <c r="D51">
        <v>7.3</v>
      </c>
      <c r="E51">
        <v>238</v>
      </c>
      <c r="F51">
        <v>0.2659864304587245</v>
      </c>
      <c r="H51">
        <f t="shared" si="0"/>
        <v>125</v>
      </c>
      <c r="I51">
        <f t="shared" si="1"/>
        <v>15625</v>
      </c>
      <c r="J51">
        <f t="shared" si="2"/>
        <v>0.65205479452054793</v>
      </c>
      <c r="K51">
        <f t="shared" si="3"/>
        <v>0.42517545505723398</v>
      </c>
      <c r="L51">
        <f t="shared" si="4"/>
        <v>81.506849315068493</v>
      </c>
    </row>
    <row r="52" spans="1:12">
      <c r="A52">
        <v>119.08</v>
      </c>
      <c r="B52">
        <v>130</v>
      </c>
      <c r="C52">
        <v>5.2</v>
      </c>
      <c r="D52">
        <v>5.45</v>
      </c>
      <c r="E52">
        <v>238</v>
      </c>
      <c r="F52">
        <v>0.25857737753540277</v>
      </c>
      <c r="H52">
        <f t="shared" si="0"/>
        <v>130</v>
      </c>
      <c r="I52">
        <f t="shared" si="1"/>
        <v>16900</v>
      </c>
      <c r="J52">
        <f t="shared" si="2"/>
        <v>0.65205479452054793</v>
      </c>
      <c r="K52">
        <f t="shared" si="3"/>
        <v>0.42517545505723398</v>
      </c>
      <c r="L52">
        <f t="shared" si="4"/>
        <v>84.767123287671225</v>
      </c>
    </row>
    <row r="53" spans="1:12">
      <c r="A53">
        <v>119.08</v>
      </c>
      <c r="B53">
        <v>135</v>
      </c>
      <c r="C53">
        <v>3.75</v>
      </c>
      <c r="D53">
        <v>3.9</v>
      </c>
      <c r="E53">
        <v>238</v>
      </c>
      <c r="F53">
        <v>0.25126042310148478</v>
      </c>
      <c r="H53">
        <f t="shared" si="0"/>
        <v>135</v>
      </c>
      <c r="I53">
        <f t="shared" si="1"/>
        <v>18225</v>
      </c>
      <c r="J53">
        <f t="shared" si="2"/>
        <v>0.65205479452054793</v>
      </c>
      <c r="K53">
        <f t="shared" si="3"/>
        <v>0.42517545505723398</v>
      </c>
      <c r="L53">
        <f t="shared" si="4"/>
        <v>88.027397260273972</v>
      </c>
    </row>
    <row r="54" spans="1:12">
      <c r="A54">
        <v>119.08</v>
      </c>
      <c r="B54">
        <v>140</v>
      </c>
      <c r="C54">
        <v>2.67</v>
      </c>
      <c r="D54">
        <v>2.82</v>
      </c>
      <c r="E54">
        <v>238</v>
      </c>
      <c r="F54">
        <v>0.24745300877839327</v>
      </c>
      <c r="H54">
        <f t="shared" si="0"/>
        <v>140</v>
      </c>
      <c r="I54">
        <f t="shared" si="1"/>
        <v>19600</v>
      </c>
      <c r="J54">
        <f t="shared" si="2"/>
        <v>0.65205479452054793</v>
      </c>
      <c r="K54">
        <f t="shared" si="3"/>
        <v>0.42517545505723398</v>
      </c>
      <c r="L54">
        <f t="shared" si="4"/>
        <v>91.287671232876704</v>
      </c>
    </row>
    <row r="55" spans="1:12">
      <c r="A55">
        <v>119.08</v>
      </c>
      <c r="B55">
        <v>145</v>
      </c>
      <c r="C55">
        <v>1.82</v>
      </c>
      <c r="D55">
        <v>1.99</v>
      </c>
      <c r="E55">
        <v>238</v>
      </c>
      <c r="F55">
        <v>0.24304188322275877</v>
      </c>
      <c r="H55">
        <f t="shared" si="0"/>
        <v>145</v>
      </c>
      <c r="I55">
        <f t="shared" si="1"/>
        <v>21025</v>
      </c>
      <c r="J55">
        <f t="shared" si="2"/>
        <v>0.65205479452054793</v>
      </c>
      <c r="K55">
        <f t="shared" si="3"/>
        <v>0.42517545505723398</v>
      </c>
      <c r="L55">
        <f t="shared" si="4"/>
        <v>94.547945205479451</v>
      </c>
    </row>
    <row r="56" spans="1:12">
      <c r="A56">
        <v>119.08</v>
      </c>
      <c r="B56">
        <v>150</v>
      </c>
      <c r="C56">
        <v>1.24</v>
      </c>
      <c r="D56">
        <v>1.33</v>
      </c>
      <c r="E56">
        <v>238</v>
      </c>
      <c r="F56">
        <v>0.23877253290265799</v>
      </c>
      <c r="H56">
        <f t="shared" si="0"/>
        <v>150</v>
      </c>
      <c r="I56">
        <f t="shared" si="1"/>
        <v>22500</v>
      </c>
      <c r="J56">
        <f t="shared" si="2"/>
        <v>0.65205479452054793</v>
      </c>
      <c r="K56">
        <f t="shared" si="3"/>
        <v>0.42517545505723398</v>
      </c>
      <c r="L56">
        <f t="shared" si="4"/>
        <v>97.808219178082183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4:U57"/>
  <sheetViews>
    <sheetView zoomScale="112" workbookViewId="0">
      <pane xSplit="6" topLeftCell="G1" activePane="topRight" state="frozen"/>
      <selection pane="topRight" sqref="A1:XFD1048576"/>
    </sheetView>
  </sheetViews>
  <sheetFormatPr defaultColWidth="8.8984375" defaultRowHeight="15.6"/>
  <cols>
    <col min="7" max="7" width="3.59765625" customWidth="1"/>
    <col min="14" max="16" width="9.09765625" bestFit="1" customWidth="1"/>
    <col min="17" max="17" width="11.8984375" bestFit="1" customWidth="1"/>
    <col min="18" max="19" width="9.09765625" bestFit="1" customWidth="1"/>
  </cols>
  <sheetData>
    <row r="4" spans="1:21">
      <c r="A4" t="s">
        <v>1</v>
      </c>
      <c r="B4" t="s">
        <v>308</v>
      </c>
      <c r="C4" t="s">
        <v>7</v>
      </c>
      <c r="D4" t="s">
        <v>8</v>
      </c>
      <c r="E4" t="s">
        <v>309</v>
      </c>
      <c r="F4" t="s">
        <v>310</v>
      </c>
      <c r="H4" t="s">
        <v>308</v>
      </c>
      <c r="I4" t="s">
        <v>312</v>
      </c>
      <c r="J4" t="s">
        <v>309</v>
      </c>
      <c r="K4" t="s">
        <v>313</v>
      </c>
      <c r="L4" t="s">
        <v>314</v>
      </c>
      <c r="N4" s="14" t="s">
        <v>315</v>
      </c>
      <c r="O4" s="14" t="s">
        <v>316</v>
      </c>
      <c r="P4" s="14" t="s">
        <v>317</v>
      </c>
      <c r="Q4" s="14" t="s">
        <v>318</v>
      </c>
      <c r="R4" s="14" t="s">
        <v>319</v>
      </c>
      <c r="S4" s="14" t="s">
        <v>320</v>
      </c>
      <c r="U4" t="s">
        <v>321</v>
      </c>
    </row>
    <row r="5" spans="1:21">
      <c r="A5" s="13">
        <v>119.08</v>
      </c>
      <c r="B5" s="13">
        <v>90</v>
      </c>
      <c r="C5" s="13">
        <v>29</v>
      </c>
      <c r="D5" s="13">
        <v>29.15</v>
      </c>
      <c r="E5" s="13">
        <v>56</v>
      </c>
      <c r="F5">
        <v>0.41511822957545519</v>
      </c>
      <c r="H5">
        <v>90</v>
      </c>
      <c r="I5">
        <v>8100</v>
      </c>
      <c r="J5">
        <v>0.15342465753424658</v>
      </c>
      <c r="K5">
        <v>2.3539125539500848E-2</v>
      </c>
      <c r="L5">
        <v>13.808219178082192</v>
      </c>
      <c r="N5" s="14">
        <f t="array" ref="N5:S11">LINEST(F5:F56,H5:L56,TRUE,TRUE)</f>
        <v>9.0116160649931869E-4</v>
      </c>
      <c r="O5" s="14">
        <v>3.4770024870327869E-2</v>
      </c>
      <c r="P5" s="14">
        <v>-0.15275624178595196</v>
      </c>
      <c r="Q5" s="14">
        <v>5.2091915841464677E-5</v>
      </c>
      <c r="R5" s="14">
        <v>-1.4874317603303527E-2</v>
      </c>
      <c r="S5" s="14">
        <v>1.3117224661466174</v>
      </c>
      <c r="U5" s="13">
        <f>$S$5+$R$5*H5+$Q$5*I5+$P$5*J5+$O$5*K5+$N$5*L5</f>
        <v>0.38480371904078514</v>
      </c>
    </row>
    <row r="6" spans="1:21">
      <c r="A6" s="13">
        <v>119.08</v>
      </c>
      <c r="B6" s="13">
        <v>95</v>
      </c>
      <c r="C6" s="13">
        <v>24.05</v>
      </c>
      <c r="D6" s="13">
        <v>24.3</v>
      </c>
      <c r="E6" s="13">
        <v>56</v>
      </c>
      <c r="F6">
        <v>0.36813717801123857</v>
      </c>
      <c r="H6">
        <v>95</v>
      </c>
      <c r="I6">
        <v>9025</v>
      </c>
      <c r="J6">
        <v>0.15342465753424658</v>
      </c>
      <c r="K6">
        <v>2.3539125539500848E-2</v>
      </c>
      <c r="L6">
        <v>14.575342465753426</v>
      </c>
      <c r="N6">
        <v>4.0571818728820958E-4</v>
      </c>
      <c r="O6">
        <v>4.9757981496271773E-2</v>
      </c>
      <c r="P6">
        <v>6.3516026955839633E-2</v>
      </c>
      <c r="Q6">
        <v>4.5126761888075557E-6</v>
      </c>
      <c r="R6">
        <v>1.0978524207285512E-3</v>
      </c>
      <c r="S6">
        <v>6.7357596210510587E-2</v>
      </c>
      <c r="U6" s="13">
        <f t="shared" ref="U6:U57" si="0">$S$5+$R$5*H6+$Q$5*I6+$P$5*J6+$O$5*K6+$N$5*L6</f>
        <v>0.35930845523192317</v>
      </c>
    </row>
    <row r="7" spans="1:21">
      <c r="A7" s="13">
        <v>119.08</v>
      </c>
      <c r="B7" s="13">
        <v>100</v>
      </c>
      <c r="C7" s="13">
        <v>19.3</v>
      </c>
      <c r="D7" s="13">
        <v>19.55</v>
      </c>
      <c r="E7" s="13">
        <v>56</v>
      </c>
      <c r="F7">
        <v>0.33695905935019255</v>
      </c>
      <c r="H7">
        <v>100</v>
      </c>
      <c r="I7">
        <v>10000</v>
      </c>
      <c r="J7">
        <v>0.15342465753424658</v>
      </c>
      <c r="K7">
        <v>2.3539125539500848E-2</v>
      </c>
      <c r="L7">
        <v>15.342465753424658</v>
      </c>
      <c r="N7">
        <v>0.94947287619939613</v>
      </c>
      <c r="O7">
        <v>1.0095694783276607E-2</v>
      </c>
      <c r="P7" t="e">
        <v>#N/A</v>
      </c>
      <c r="Q7" t="e">
        <v>#N/A</v>
      </c>
      <c r="R7" t="e">
        <v>#N/A</v>
      </c>
      <c r="S7" t="e">
        <v>#N/A</v>
      </c>
      <c r="U7" s="13">
        <f t="shared" si="0"/>
        <v>0.33641778721513438</v>
      </c>
    </row>
    <row r="8" spans="1:21">
      <c r="A8" s="13">
        <v>119.08</v>
      </c>
      <c r="B8" s="13">
        <v>105</v>
      </c>
      <c r="C8" s="13">
        <v>14.75</v>
      </c>
      <c r="D8" s="13">
        <v>14.9</v>
      </c>
      <c r="E8" s="13">
        <v>56</v>
      </c>
      <c r="F8">
        <v>0.30529332812875509</v>
      </c>
      <c r="H8">
        <v>105</v>
      </c>
      <c r="I8">
        <v>11025</v>
      </c>
      <c r="J8">
        <v>0.15342465753424658</v>
      </c>
      <c r="K8">
        <v>2.3539125539500848E-2</v>
      </c>
      <c r="L8">
        <v>16.109589041095891</v>
      </c>
      <c r="N8">
        <v>172.88042152381627</v>
      </c>
      <c r="O8">
        <v>46</v>
      </c>
      <c r="P8" t="e">
        <v>#N/A</v>
      </c>
      <c r="Q8" t="e">
        <v>#N/A</v>
      </c>
      <c r="R8" t="e">
        <v>#N/A</v>
      </c>
      <c r="S8" t="e">
        <v>#N/A</v>
      </c>
      <c r="U8" s="13">
        <f t="shared" si="0"/>
        <v>0.31613171499041887</v>
      </c>
    </row>
    <row r="9" spans="1:21">
      <c r="A9" s="13">
        <v>119.08</v>
      </c>
      <c r="B9" s="13">
        <v>110</v>
      </c>
      <c r="C9" s="13">
        <v>10.6</v>
      </c>
      <c r="D9" s="13">
        <v>10.7</v>
      </c>
      <c r="E9" s="13">
        <v>56</v>
      </c>
      <c r="F9">
        <v>0.28581649530678988</v>
      </c>
      <c r="H9">
        <v>110</v>
      </c>
      <c r="I9">
        <v>12100</v>
      </c>
      <c r="J9">
        <v>0.15342465753424658</v>
      </c>
      <c r="K9">
        <v>2.3539125539500848E-2</v>
      </c>
      <c r="L9">
        <v>16.876712328767123</v>
      </c>
      <c r="N9">
        <v>8.8102501963950322E-2</v>
      </c>
      <c r="O9">
        <v>4.6884604452256118E-3</v>
      </c>
      <c r="P9" t="e">
        <v>#N/A</v>
      </c>
      <c r="Q9" t="e">
        <v>#N/A</v>
      </c>
      <c r="R9" t="e">
        <v>#N/A</v>
      </c>
      <c r="S9" t="e">
        <v>#N/A</v>
      </c>
      <c r="U9" s="13">
        <f t="shared" si="0"/>
        <v>0.29845023855777664</v>
      </c>
    </row>
    <row r="10" spans="1:21">
      <c r="A10" s="13">
        <v>119.08</v>
      </c>
      <c r="B10" s="13">
        <v>115</v>
      </c>
      <c r="C10" s="13">
        <v>7</v>
      </c>
      <c r="D10" s="13">
        <v>7.1</v>
      </c>
      <c r="E10" s="13">
        <v>56</v>
      </c>
      <c r="F10">
        <v>0.27011450845748186</v>
      </c>
      <c r="H10">
        <v>115</v>
      </c>
      <c r="I10">
        <v>13225</v>
      </c>
      <c r="J10">
        <v>0.15342465753424658</v>
      </c>
      <c r="K10">
        <v>2.3539125539500848E-2</v>
      </c>
      <c r="L10">
        <v>17.643835616438356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U10" s="13">
        <f t="shared" si="0"/>
        <v>0.28337335791720758</v>
      </c>
    </row>
    <row r="11" spans="1:21">
      <c r="A11" s="13">
        <v>119.08</v>
      </c>
      <c r="B11" s="13">
        <v>120</v>
      </c>
      <c r="C11" s="13">
        <v>4.1500000000000004</v>
      </c>
      <c r="D11" s="13">
        <v>4.2</v>
      </c>
      <c r="E11" s="13">
        <v>56</v>
      </c>
      <c r="F11">
        <v>0.25523035321384668</v>
      </c>
      <c r="H11">
        <v>120</v>
      </c>
      <c r="I11">
        <v>14400</v>
      </c>
      <c r="J11">
        <v>0.15342465753424658</v>
      </c>
      <c r="K11">
        <v>2.3539125539500848E-2</v>
      </c>
      <c r="L11">
        <v>18.410958904109592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  <c r="U11" s="13">
        <f t="shared" si="0"/>
        <v>0.2709010730687117</v>
      </c>
    </row>
    <row r="12" spans="1:21">
      <c r="A12" s="13">
        <v>119.08</v>
      </c>
      <c r="B12" s="13">
        <v>125</v>
      </c>
      <c r="C12" s="13">
        <v>2.19</v>
      </c>
      <c r="D12" s="13">
        <v>2.2000000000000002</v>
      </c>
      <c r="E12" s="13">
        <v>56</v>
      </c>
      <c r="F12">
        <v>0.24474289733916521</v>
      </c>
      <c r="H12">
        <v>125</v>
      </c>
      <c r="I12">
        <v>15625</v>
      </c>
      <c r="J12">
        <v>0.15342465753424658</v>
      </c>
      <c r="K12">
        <v>2.3539125539500848E-2</v>
      </c>
      <c r="L12">
        <v>19.178082191780824</v>
      </c>
      <c r="U12" s="13">
        <f t="shared" si="0"/>
        <v>0.26103338401228932</v>
      </c>
    </row>
    <row r="13" spans="1:21">
      <c r="A13" s="13">
        <v>119.08</v>
      </c>
      <c r="B13" s="13">
        <v>130</v>
      </c>
      <c r="C13" s="13">
        <v>1.06</v>
      </c>
      <c r="D13" s="13">
        <v>1.08</v>
      </c>
      <c r="E13" s="13">
        <v>56</v>
      </c>
      <c r="F13">
        <v>0.24170820135623217</v>
      </c>
      <c r="H13">
        <v>130</v>
      </c>
      <c r="I13">
        <v>16900</v>
      </c>
      <c r="J13">
        <v>0.15342465753424658</v>
      </c>
      <c r="K13">
        <v>2.3539125539500848E-2</v>
      </c>
      <c r="L13">
        <v>19.945205479452056</v>
      </c>
      <c r="U13" s="13">
        <f t="shared" si="0"/>
        <v>0.25377029074794</v>
      </c>
    </row>
    <row r="14" spans="1:21">
      <c r="A14" s="13">
        <v>119.08</v>
      </c>
      <c r="B14" s="13">
        <v>135</v>
      </c>
      <c r="C14" s="13">
        <v>0.48</v>
      </c>
      <c r="D14" s="13">
        <v>0.5</v>
      </c>
      <c r="E14" s="13">
        <v>56</v>
      </c>
      <c r="F14">
        <v>0.24195429403334856</v>
      </c>
      <c r="H14">
        <v>135</v>
      </c>
      <c r="I14">
        <v>18225</v>
      </c>
      <c r="J14">
        <v>0.15342465753424658</v>
      </c>
      <c r="K14">
        <v>2.3539125539500848E-2</v>
      </c>
      <c r="L14">
        <v>20.712328767123289</v>
      </c>
      <c r="U14" s="13">
        <f t="shared" si="0"/>
        <v>0.24911179327566366</v>
      </c>
    </row>
    <row r="15" spans="1:21">
      <c r="A15" s="13">
        <v>119.08</v>
      </c>
      <c r="B15" s="13">
        <v>140</v>
      </c>
      <c r="C15" s="13">
        <v>0.22</v>
      </c>
      <c r="D15" s="13">
        <v>0.25</v>
      </c>
      <c r="E15" s="13">
        <v>56</v>
      </c>
      <c r="F15">
        <v>0.24831830058246851</v>
      </c>
      <c r="H15">
        <v>140</v>
      </c>
      <c r="I15">
        <v>19600</v>
      </c>
      <c r="J15">
        <v>0.15342465753424658</v>
      </c>
      <c r="K15">
        <v>2.3539125539500848E-2</v>
      </c>
      <c r="L15">
        <v>21.479452054794521</v>
      </c>
      <c r="U15" s="13">
        <f t="shared" si="0"/>
        <v>0.24705789159546102</v>
      </c>
    </row>
    <row r="16" spans="1:21">
      <c r="A16" s="13">
        <v>119.08</v>
      </c>
      <c r="B16" s="13">
        <v>145</v>
      </c>
      <c r="C16" s="13">
        <v>0.11</v>
      </c>
      <c r="D16" s="13">
        <v>0.14000000000000001</v>
      </c>
      <c r="E16" s="13">
        <v>56</v>
      </c>
      <c r="F16">
        <v>0.25944441091269255</v>
      </c>
      <c r="H16">
        <v>145</v>
      </c>
      <c r="I16">
        <v>21025</v>
      </c>
      <c r="J16">
        <v>0.15342465753424658</v>
      </c>
      <c r="K16">
        <v>2.3539125539500848E-2</v>
      </c>
      <c r="L16">
        <v>22.246575342465754</v>
      </c>
      <c r="U16" s="13">
        <f t="shared" si="0"/>
        <v>0.24760858570733166</v>
      </c>
    </row>
    <row r="17" spans="1:21">
      <c r="A17" s="13">
        <v>119.08</v>
      </c>
      <c r="B17" s="13">
        <v>150</v>
      </c>
      <c r="C17" s="13">
        <v>7.0000000000000007E-2</v>
      </c>
      <c r="D17" s="13">
        <v>0.09</v>
      </c>
      <c r="E17" s="13">
        <v>56</v>
      </c>
      <c r="F17">
        <v>0.27637777384370565</v>
      </c>
      <c r="H17">
        <v>150</v>
      </c>
      <c r="I17">
        <v>22500</v>
      </c>
      <c r="J17">
        <v>0.15342465753424658</v>
      </c>
      <c r="K17">
        <v>2.3539125539500848E-2</v>
      </c>
      <c r="L17">
        <v>23.013698630136986</v>
      </c>
      <c r="U17" s="13">
        <f t="shared" si="0"/>
        <v>0.25076387561127489</v>
      </c>
    </row>
    <row r="18" spans="1:21">
      <c r="A18">
        <v>119.08</v>
      </c>
      <c r="B18">
        <v>90</v>
      </c>
      <c r="C18">
        <v>29.35</v>
      </c>
      <c r="D18">
        <v>29.7</v>
      </c>
      <c r="E18">
        <v>119</v>
      </c>
      <c r="F18">
        <v>0.38047262001782656</v>
      </c>
      <c r="H18">
        <v>90</v>
      </c>
      <c r="I18">
        <v>8100</v>
      </c>
      <c r="J18">
        <v>0.32602739726027397</v>
      </c>
      <c r="K18">
        <v>0.10629386376430849</v>
      </c>
      <c r="L18">
        <v>29.342465753424658</v>
      </c>
      <c r="U18">
        <f t="shared" si="0"/>
        <v>0.37531382410408459</v>
      </c>
    </row>
    <row r="19" spans="1:21">
      <c r="A19">
        <v>119.08</v>
      </c>
      <c r="B19">
        <v>95</v>
      </c>
      <c r="C19">
        <v>24.75</v>
      </c>
      <c r="D19">
        <v>25.05</v>
      </c>
      <c r="E19">
        <v>119</v>
      </c>
      <c r="F19">
        <v>0.35222214180976152</v>
      </c>
      <c r="H19">
        <v>95</v>
      </c>
      <c r="I19">
        <v>9025</v>
      </c>
      <c r="J19">
        <v>0.32602739726027397</v>
      </c>
      <c r="K19">
        <v>0.10629386376430849</v>
      </c>
      <c r="L19">
        <v>30.972602739726028</v>
      </c>
      <c r="U19">
        <f t="shared" si="0"/>
        <v>0.35059627510631108</v>
      </c>
    </row>
    <row r="20" spans="1:21">
      <c r="A20">
        <v>119.08</v>
      </c>
      <c r="B20">
        <v>100</v>
      </c>
      <c r="C20">
        <v>20.350000000000001</v>
      </c>
      <c r="D20">
        <v>20.6</v>
      </c>
      <c r="E20">
        <v>119</v>
      </c>
      <c r="F20">
        <v>0.32879560720175505</v>
      </c>
      <c r="H20">
        <v>100</v>
      </c>
      <c r="I20">
        <v>10000</v>
      </c>
      <c r="J20">
        <v>0.32602739726027397</v>
      </c>
      <c r="K20">
        <v>0.10629386376430849</v>
      </c>
      <c r="L20">
        <v>32.602739726027394</v>
      </c>
      <c r="U20">
        <f t="shared" si="0"/>
        <v>0.32848332190061075</v>
      </c>
    </row>
    <row r="21" spans="1:21">
      <c r="A21">
        <v>119.08</v>
      </c>
      <c r="B21">
        <v>105</v>
      </c>
      <c r="C21">
        <v>16.2</v>
      </c>
      <c r="D21">
        <v>16.5</v>
      </c>
      <c r="E21">
        <v>119</v>
      </c>
      <c r="F21">
        <v>0.31024740543216467</v>
      </c>
      <c r="H21">
        <v>105</v>
      </c>
      <c r="I21">
        <v>11025</v>
      </c>
      <c r="J21">
        <v>0.32602739726027397</v>
      </c>
      <c r="K21">
        <v>0.10629386376430849</v>
      </c>
      <c r="L21">
        <v>34.232876712328768</v>
      </c>
      <c r="U21">
        <f t="shared" si="0"/>
        <v>0.30897496448698369</v>
      </c>
    </row>
    <row r="22" spans="1:21">
      <c r="A22">
        <v>119.08</v>
      </c>
      <c r="B22">
        <v>110</v>
      </c>
      <c r="C22">
        <v>12.5</v>
      </c>
      <c r="D22">
        <v>12.7</v>
      </c>
      <c r="E22">
        <v>119</v>
      </c>
      <c r="F22">
        <v>0.29459397774189711</v>
      </c>
      <c r="H22">
        <v>110</v>
      </c>
      <c r="I22">
        <v>12100</v>
      </c>
      <c r="J22">
        <v>0.32602739726027397</v>
      </c>
      <c r="K22">
        <v>0.10629386376430849</v>
      </c>
      <c r="L22">
        <v>35.863013698630134</v>
      </c>
      <c r="U22">
        <f t="shared" si="0"/>
        <v>0.29207120286542992</v>
      </c>
    </row>
    <row r="23" spans="1:21">
      <c r="A23">
        <v>119.08</v>
      </c>
      <c r="B23">
        <v>115</v>
      </c>
      <c r="C23">
        <v>9.1999999999999993</v>
      </c>
      <c r="D23">
        <v>9.35</v>
      </c>
      <c r="E23">
        <v>119</v>
      </c>
      <c r="F23">
        <v>0.27971104253083467</v>
      </c>
      <c r="H23">
        <v>115</v>
      </c>
      <c r="I23">
        <v>13225</v>
      </c>
      <c r="J23">
        <v>0.32602739726027397</v>
      </c>
      <c r="K23">
        <v>0.10629386376430849</v>
      </c>
      <c r="L23">
        <v>37.493150684931507</v>
      </c>
      <c r="U23">
        <f t="shared" si="0"/>
        <v>0.27777203703594927</v>
      </c>
    </row>
    <row r="24" spans="1:21">
      <c r="A24">
        <v>119.08</v>
      </c>
      <c r="B24">
        <v>120</v>
      </c>
      <c r="C24">
        <v>6.55</v>
      </c>
      <c r="D24">
        <v>6.65</v>
      </c>
      <c r="E24">
        <v>119</v>
      </c>
      <c r="F24">
        <v>0.27102038729935884</v>
      </c>
      <c r="H24">
        <v>120</v>
      </c>
      <c r="I24">
        <v>14400</v>
      </c>
      <c r="J24">
        <v>0.32602739726027397</v>
      </c>
      <c r="K24">
        <v>0.10629386376430849</v>
      </c>
      <c r="L24">
        <v>39.123287671232873</v>
      </c>
      <c r="U24">
        <f t="shared" si="0"/>
        <v>0.26607746699854185</v>
      </c>
    </row>
    <row r="25" spans="1:21">
      <c r="A25">
        <v>119.08</v>
      </c>
      <c r="B25">
        <v>125</v>
      </c>
      <c r="C25">
        <v>4.3499999999999996</v>
      </c>
      <c r="D25">
        <v>4.45</v>
      </c>
      <c r="E25">
        <v>119</v>
      </c>
      <c r="F25">
        <v>0.26029567699879408</v>
      </c>
      <c r="H25">
        <v>125</v>
      </c>
      <c r="I25">
        <v>15625</v>
      </c>
      <c r="J25">
        <v>0.32602739726027397</v>
      </c>
      <c r="K25">
        <v>0.10629386376430849</v>
      </c>
      <c r="L25">
        <v>40.753424657534246</v>
      </c>
      <c r="U25">
        <f t="shared" si="0"/>
        <v>0.25698749275320792</v>
      </c>
    </row>
    <row r="26" spans="1:21">
      <c r="A26">
        <v>119.08</v>
      </c>
      <c r="B26">
        <v>130</v>
      </c>
      <c r="C26">
        <v>2.8</v>
      </c>
      <c r="D26">
        <v>2.85</v>
      </c>
      <c r="E26">
        <v>119</v>
      </c>
      <c r="F26">
        <v>0.25377921294420958</v>
      </c>
      <c r="H26">
        <v>130</v>
      </c>
      <c r="I26">
        <v>16900</v>
      </c>
      <c r="J26">
        <v>0.32602739726027397</v>
      </c>
      <c r="K26">
        <v>0.10629386376430849</v>
      </c>
      <c r="L26">
        <v>42.383561643835613</v>
      </c>
      <c r="U26">
        <f t="shared" si="0"/>
        <v>0.25050211429994707</v>
      </c>
    </row>
    <row r="27" spans="1:21">
      <c r="A27">
        <v>119.08</v>
      </c>
      <c r="B27">
        <v>135</v>
      </c>
      <c r="C27">
        <v>1.69</v>
      </c>
      <c r="D27">
        <v>1.77</v>
      </c>
      <c r="E27">
        <v>119</v>
      </c>
      <c r="F27">
        <v>0.24861605372279882</v>
      </c>
      <c r="H27">
        <v>135</v>
      </c>
      <c r="I27">
        <v>18225</v>
      </c>
      <c r="J27">
        <v>0.32602739726027397</v>
      </c>
      <c r="K27">
        <v>0.10629386376430849</v>
      </c>
      <c r="L27">
        <v>44.013698630136986</v>
      </c>
      <c r="U27">
        <f t="shared" si="0"/>
        <v>0.24662133163875916</v>
      </c>
    </row>
    <row r="28" spans="1:21">
      <c r="A28">
        <v>119.08</v>
      </c>
      <c r="B28">
        <v>140</v>
      </c>
      <c r="C28">
        <v>1.01</v>
      </c>
      <c r="D28">
        <v>1.08</v>
      </c>
      <c r="E28">
        <v>119</v>
      </c>
      <c r="F28">
        <v>0.24679151829332113</v>
      </c>
      <c r="H28">
        <v>140</v>
      </c>
      <c r="I28">
        <v>19600</v>
      </c>
      <c r="J28">
        <v>0.32602739726027397</v>
      </c>
      <c r="K28">
        <v>0.10629386376430849</v>
      </c>
      <c r="L28">
        <v>45.643835616438352</v>
      </c>
      <c r="U28">
        <f t="shared" si="0"/>
        <v>0.24534514476964497</v>
      </c>
    </row>
    <row r="29" spans="1:21">
      <c r="A29">
        <v>119.08</v>
      </c>
      <c r="B29">
        <v>145</v>
      </c>
      <c r="C29">
        <v>0.62</v>
      </c>
      <c r="D29">
        <v>0.66</v>
      </c>
      <c r="E29">
        <v>119</v>
      </c>
      <c r="F29">
        <v>0.24819867219775915</v>
      </c>
      <c r="H29">
        <v>145</v>
      </c>
      <c r="I29">
        <v>21025</v>
      </c>
      <c r="J29">
        <v>0.32602739726027397</v>
      </c>
      <c r="K29">
        <v>0.10629386376430849</v>
      </c>
      <c r="L29">
        <v>47.273972602739725</v>
      </c>
      <c r="U29">
        <f t="shared" si="0"/>
        <v>0.24667355369260408</v>
      </c>
    </row>
    <row r="30" spans="1:21">
      <c r="A30">
        <v>119.08</v>
      </c>
      <c r="B30">
        <v>150</v>
      </c>
      <c r="C30">
        <v>0.36</v>
      </c>
      <c r="D30">
        <v>0.45</v>
      </c>
      <c r="E30">
        <v>119</v>
      </c>
      <c r="F30">
        <v>0.25221166666597128</v>
      </c>
      <c r="H30">
        <v>150</v>
      </c>
      <c r="I30">
        <v>22500</v>
      </c>
      <c r="J30">
        <v>0.32602739726027397</v>
      </c>
      <c r="K30">
        <v>0.10629386376430849</v>
      </c>
      <c r="L30">
        <v>48.904109589041092</v>
      </c>
      <c r="U30">
        <f t="shared" si="0"/>
        <v>0.25060655840763579</v>
      </c>
    </row>
    <row r="31" spans="1:21">
      <c r="A31" s="13">
        <v>119.08</v>
      </c>
      <c r="B31" s="13">
        <v>90</v>
      </c>
      <c r="C31" s="13">
        <v>29.7</v>
      </c>
      <c r="D31" s="13">
        <v>30.05</v>
      </c>
      <c r="E31" s="13">
        <v>175</v>
      </c>
      <c r="F31">
        <v>0.35802929196506739</v>
      </c>
      <c r="H31">
        <v>90</v>
      </c>
      <c r="I31">
        <v>8100</v>
      </c>
      <c r="J31">
        <v>0.47945205479452052</v>
      </c>
      <c r="K31">
        <v>0.2298742728466879</v>
      </c>
      <c r="L31">
        <v>43.150684931506845</v>
      </c>
      <c r="U31" s="13">
        <f t="shared" si="0"/>
        <v>0.36861758089655117</v>
      </c>
    </row>
    <row r="32" spans="1:21">
      <c r="A32" s="13">
        <v>119.08</v>
      </c>
      <c r="B32" s="13">
        <v>95</v>
      </c>
      <c r="C32" s="13">
        <v>25.25</v>
      </c>
      <c r="D32" s="13">
        <v>25.65</v>
      </c>
      <c r="E32" s="13">
        <v>175</v>
      </c>
      <c r="F32">
        <v>0.33718574326485395</v>
      </c>
      <c r="H32">
        <v>95</v>
      </c>
      <c r="I32">
        <v>9025</v>
      </c>
      <c r="J32">
        <v>0.47945205479452052</v>
      </c>
      <c r="K32">
        <v>0.2298742728466879</v>
      </c>
      <c r="L32">
        <v>45.547945205479451</v>
      </c>
      <c r="U32" s="13">
        <f t="shared" si="0"/>
        <v>0.3445913339530785</v>
      </c>
    </row>
    <row r="33" spans="1:21">
      <c r="A33" s="13">
        <v>119.08</v>
      </c>
      <c r="B33" s="13">
        <v>100</v>
      </c>
      <c r="C33" s="13">
        <v>21</v>
      </c>
      <c r="D33" s="13">
        <v>21.35</v>
      </c>
      <c r="E33" s="13">
        <v>175</v>
      </c>
      <c r="F33">
        <v>0.31599333044141531</v>
      </c>
      <c r="H33">
        <v>100</v>
      </c>
      <c r="I33">
        <v>10000</v>
      </c>
      <c r="J33">
        <v>0.47945205479452052</v>
      </c>
      <c r="K33">
        <v>0.2298742728466879</v>
      </c>
      <c r="L33">
        <v>47.945205479452049</v>
      </c>
      <c r="U33" s="13">
        <f t="shared" si="0"/>
        <v>0.32316968280167901</v>
      </c>
    </row>
    <row r="34" spans="1:21">
      <c r="A34" s="13">
        <v>119.08</v>
      </c>
      <c r="B34" s="13">
        <v>105</v>
      </c>
      <c r="C34" s="13">
        <v>17.149999999999999</v>
      </c>
      <c r="D34" s="13">
        <v>17.399999999999999</v>
      </c>
      <c r="E34" s="13">
        <v>175</v>
      </c>
      <c r="F34">
        <v>0.30159332323819399</v>
      </c>
      <c r="H34">
        <v>105</v>
      </c>
      <c r="I34">
        <v>11025</v>
      </c>
      <c r="J34">
        <v>0.47945205479452052</v>
      </c>
      <c r="K34">
        <v>0.2298742728466879</v>
      </c>
      <c r="L34">
        <v>50.342465753424655</v>
      </c>
      <c r="U34" s="13">
        <f t="shared" si="0"/>
        <v>0.30435262744235281</v>
      </c>
    </row>
    <row r="35" spans="1:21">
      <c r="A35" s="13">
        <v>119.08</v>
      </c>
      <c r="B35" s="13">
        <v>110</v>
      </c>
      <c r="C35" s="13">
        <v>13.65</v>
      </c>
      <c r="D35" s="13">
        <v>13.85</v>
      </c>
      <c r="E35" s="13">
        <v>175</v>
      </c>
      <c r="F35">
        <v>0.28975703287869692</v>
      </c>
      <c r="H35">
        <v>110</v>
      </c>
      <c r="I35">
        <v>12100</v>
      </c>
      <c r="J35">
        <v>0.47945205479452052</v>
      </c>
      <c r="K35">
        <v>0.2298742728466879</v>
      </c>
      <c r="L35">
        <v>52.739726027397261</v>
      </c>
      <c r="U35" s="13">
        <f t="shared" si="0"/>
        <v>0.28814016787509988</v>
      </c>
    </row>
    <row r="36" spans="1:21">
      <c r="A36" s="13">
        <v>119.08</v>
      </c>
      <c r="B36" s="13">
        <v>115</v>
      </c>
      <c r="C36" s="13">
        <v>10.5</v>
      </c>
      <c r="D36" s="13">
        <v>10.7</v>
      </c>
      <c r="E36" s="13">
        <v>175</v>
      </c>
      <c r="F36">
        <v>0.27820318471640348</v>
      </c>
      <c r="H36">
        <v>115</v>
      </c>
      <c r="I36">
        <v>13225</v>
      </c>
      <c r="J36">
        <v>0.47945205479452052</v>
      </c>
      <c r="K36">
        <v>0.2298742728466879</v>
      </c>
      <c r="L36">
        <v>55.136986301369859</v>
      </c>
      <c r="U36" s="13">
        <f t="shared" si="0"/>
        <v>0.27453230409992013</v>
      </c>
    </row>
    <row r="37" spans="1:21">
      <c r="A37" s="13">
        <v>119.08</v>
      </c>
      <c r="B37" s="13">
        <v>120</v>
      </c>
      <c r="C37" s="13">
        <v>7.85</v>
      </c>
      <c r="D37" s="13">
        <v>8.0500000000000007</v>
      </c>
      <c r="E37" s="13">
        <v>175</v>
      </c>
      <c r="F37">
        <v>0.26943186763674021</v>
      </c>
      <c r="H37">
        <v>120</v>
      </c>
      <c r="I37">
        <v>14400</v>
      </c>
      <c r="J37">
        <v>0.47945205479452052</v>
      </c>
      <c r="K37">
        <v>0.2298742728466879</v>
      </c>
      <c r="L37">
        <v>57.534246575342465</v>
      </c>
      <c r="U37" s="13">
        <f t="shared" si="0"/>
        <v>0.26352903611681355</v>
      </c>
    </row>
    <row r="38" spans="1:21">
      <c r="A38" s="13">
        <v>119.08</v>
      </c>
      <c r="B38" s="13">
        <v>125</v>
      </c>
      <c r="C38" s="13">
        <v>5.6</v>
      </c>
      <c r="D38" s="13">
        <v>5.8</v>
      </c>
      <c r="E38" s="13">
        <v>175</v>
      </c>
      <c r="F38">
        <v>0.25955301243811846</v>
      </c>
      <c r="H38">
        <v>125</v>
      </c>
      <c r="I38">
        <v>15625</v>
      </c>
      <c r="J38">
        <v>0.47945205479452052</v>
      </c>
      <c r="K38">
        <v>0.2298742728466879</v>
      </c>
      <c r="L38">
        <v>59.931506849315063</v>
      </c>
      <c r="U38" s="13">
        <f t="shared" si="0"/>
        <v>0.25513036392578048</v>
      </c>
    </row>
    <row r="39" spans="1:21">
      <c r="A39" s="13">
        <v>119.08</v>
      </c>
      <c r="B39" s="13">
        <v>130</v>
      </c>
      <c r="C39" s="13">
        <v>3.85</v>
      </c>
      <c r="D39" s="13">
        <v>4.05</v>
      </c>
      <c r="E39" s="13">
        <v>175</v>
      </c>
      <c r="F39">
        <v>0.25174431968480349</v>
      </c>
      <c r="H39">
        <v>130</v>
      </c>
      <c r="I39">
        <v>16900</v>
      </c>
      <c r="J39">
        <v>0.47945205479452052</v>
      </c>
      <c r="K39">
        <v>0.2298742728466879</v>
      </c>
      <c r="L39">
        <v>62.328767123287669</v>
      </c>
      <c r="U39" s="13">
        <f t="shared" si="0"/>
        <v>0.24933628752682047</v>
      </c>
    </row>
    <row r="40" spans="1:21">
      <c r="A40" s="13">
        <v>119.08</v>
      </c>
      <c r="B40" s="13">
        <v>135</v>
      </c>
      <c r="C40" s="13">
        <v>2.6</v>
      </c>
      <c r="D40" s="13">
        <v>2.73</v>
      </c>
      <c r="E40" s="13">
        <v>175</v>
      </c>
      <c r="F40">
        <v>0.24623165372759104</v>
      </c>
      <c r="H40">
        <v>135</v>
      </c>
      <c r="I40">
        <v>18225</v>
      </c>
      <c r="J40">
        <v>0.47945205479452052</v>
      </c>
      <c r="K40">
        <v>0.2298742728466879</v>
      </c>
      <c r="L40">
        <v>64.726027397260268</v>
      </c>
      <c r="U40" s="13">
        <f t="shared" si="0"/>
        <v>0.2461468069199334</v>
      </c>
    </row>
    <row r="41" spans="1:21">
      <c r="A41" s="13">
        <v>119.08</v>
      </c>
      <c r="B41" s="13">
        <v>140</v>
      </c>
      <c r="C41" s="13">
        <v>1.68</v>
      </c>
      <c r="D41" s="13">
        <v>1.84</v>
      </c>
      <c r="E41" s="13">
        <v>175</v>
      </c>
      <c r="F41">
        <v>0.24255629163235426</v>
      </c>
      <c r="H41">
        <v>140</v>
      </c>
      <c r="I41">
        <v>19600</v>
      </c>
      <c r="J41">
        <v>0.47945205479452052</v>
      </c>
      <c r="K41">
        <v>0.2298742728466879</v>
      </c>
      <c r="L41">
        <v>67.123287671232873</v>
      </c>
      <c r="U41" s="13">
        <f t="shared" si="0"/>
        <v>0.24556192210512007</v>
      </c>
    </row>
    <row r="42" spans="1:21">
      <c r="A42" s="13">
        <v>119.08</v>
      </c>
      <c r="B42" s="13">
        <v>145</v>
      </c>
      <c r="C42" s="13">
        <v>1.07</v>
      </c>
      <c r="D42" s="13">
        <v>1.23</v>
      </c>
      <c r="E42" s="13">
        <v>175</v>
      </c>
      <c r="F42">
        <v>0.24066433776170015</v>
      </c>
      <c r="H42">
        <v>145</v>
      </c>
      <c r="I42">
        <v>21025</v>
      </c>
      <c r="J42">
        <v>0.47945205479452052</v>
      </c>
      <c r="K42">
        <v>0.2298742728466879</v>
      </c>
      <c r="L42">
        <v>69.520547945205479</v>
      </c>
      <c r="U42" s="13">
        <f t="shared" si="0"/>
        <v>0.24758163308238001</v>
      </c>
    </row>
    <row r="43" spans="1:21">
      <c r="A43" s="13">
        <v>119.08</v>
      </c>
      <c r="B43" s="13">
        <v>150</v>
      </c>
      <c r="C43" s="13">
        <v>0.7</v>
      </c>
      <c r="D43" s="13">
        <v>0.82</v>
      </c>
      <c r="E43" s="13">
        <v>175</v>
      </c>
      <c r="F43">
        <v>0.2410216024145484</v>
      </c>
      <c r="H43">
        <v>150</v>
      </c>
      <c r="I43">
        <v>22500</v>
      </c>
      <c r="J43">
        <v>0.47945205479452052</v>
      </c>
      <c r="K43">
        <v>0.2298742728466879</v>
      </c>
      <c r="L43">
        <v>71.917808219178085</v>
      </c>
      <c r="U43" s="13">
        <f t="shared" si="0"/>
        <v>0.25220593985171258</v>
      </c>
    </row>
    <row r="44" spans="1:21">
      <c r="A44">
        <v>119.08</v>
      </c>
      <c r="B44">
        <v>90</v>
      </c>
      <c r="C44">
        <v>30.15</v>
      </c>
      <c r="D44">
        <v>30.65</v>
      </c>
      <c r="E44">
        <v>238</v>
      </c>
      <c r="F44">
        <v>0.34947108943015337</v>
      </c>
      <c r="H44">
        <v>90</v>
      </c>
      <c r="I44">
        <v>8100</v>
      </c>
      <c r="J44">
        <v>0.65205479452054793</v>
      </c>
      <c r="K44">
        <v>0.42517545505723398</v>
      </c>
      <c r="L44">
        <v>58.684931506849317</v>
      </c>
      <c r="U44">
        <f t="shared" si="0"/>
        <v>0.36304092861630177</v>
      </c>
    </row>
    <row r="45" spans="1:21">
      <c r="A45">
        <v>119.08</v>
      </c>
      <c r="B45">
        <v>95</v>
      </c>
      <c r="C45">
        <v>25.9</v>
      </c>
      <c r="D45">
        <v>26.4</v>
      </c>
      <c r="E45">
        <v>238</v>
      </c>
      <c r="F45">
        <v>0.33167519140988588</v>
      </c>
      <c r="H45">
        <v>95</v>
      </c>
      <c r="I45">
        <v>9025</v>
      </c>
      <c r="J45">
        <v>0.65205479452054793</v>
      </c>
      <c r="K45">
        <v>0.42517545505723398</v>
      </c>
      <c r="L45">
        <v>61.945205479452056</v>
      </c>
      <c r="U45">
        <f t="shared" si="0"/>
        <v>0.33979239648391757</v>
      </c>
    </row>
    <row r="46" spans="1:21">
      <c r="A46">
        <v>119.08</v>
      </c>
      <c r="B46">
        <v>100</v>
      </c>
      <c r="C46">
        <v>21.95</v>
      </c>
      <c r="D46">
        <v>22.4</v>
      </c>
      <c r="E46">
        <v>238</v>
      </c>
      <c r="F46">
        <v>0.31769124325364828</v>
      </c>
      <c r="H46">
        <v>100</v>
      </c>
      <c r="I46">
        <v>10000</v>
      </c>
      <c r="J46">
        <v>0.65205479452054793</v>
      </c>
      <c r="K46">
        <v>0.42517545505723398</v>
      </c>
      <c r="L46">
        <v>65.205479452054789</v>
      </c>
      <c r="U46">
        <f t="shared" si="0"/>
        <v>0.31914846014360643</v>
      </c>
    </row>
    <row r="47" spans="1:21">
      <c r="A47">
        <v>119.08</v>
      </c>
      <c r="B47">
        <v>105</v>
      </c>
      <c r="C47">
        <v>18.25</v>
      </c>
      <c r="D47">
        <v>18.649999999999999</v>
      </c>
      <c r="E47">
        <v>238</v>
      </c>
      <c r="F47">
        <v>0.30434999149292707</v>
      </c>
      <c r="H47">
        <v>105</v>
      </c>
      <c r="I47">
        <v>11025</v>
      </c>
      <c r="J47">
        <v>0.65205479452054793</v>
      </c>
      <c r="K47">
        <v>0.42517545505723398</v>
      </c>
      <c r="L47">
        <v>68.465753424657535</v>
      </c>
      <c r="U47">
        <f t="shared" si="0"/>
        <v>0.30110911959536868</v>
      </c>
    </row>
    <row r="48" spans="1:21">
      <c r="A48">
        <v>119.08</v>
      </c>
      <c r="B48">
        <v>110</v>
      </c>
      <c r="C48">
        <v>14.95</v>
      </c>
      <c r="D48">
        <v>15.3</v>
      </c>
      <c r="E48">
        <v>238</v>
      </c>
      <c r="F48">
        <v>0.29473756905645132</v>
      </c>
      <c r="H48">
        <v>110</v>
      </c>
      <c r="I48">
        <v>12100</v>
      </c>
      <c r="J48">
        <v>0.65205479452054793</v>
      </c>
      <c r="K48">
        <v>0.42517545505723398</v>
      </c>
      <c r="L48">
        <v>71.726027397260268</v>
      </c>
      <c r="U48">
        <f t="shared" si="0"/>
        <v>0.28567437483920421</v>
      </c>
    </row>
    <row r="49" spans="1:21">
      <c r="A49">
        <v>119.08</v>
      </c>
      <c r="B49">
        <v>115</v>
      </c>
      <c r="C49">
        <v>11.95</v>
      </c>
      <c r="D49">
        <v>12.15</v>
      </c>
      <c r="E49">
        <v>238</v>
      </c>
      <c r="F49">
        <v>0.28315148781985044</v>
      </c>
      <c r="H49">
        <v>115</v>
      </c>
      <c r="I49">
        <v>13225</v>
      </c>
      <c r="J49">
        <v>0.65205479452054793</v>
      </c>
      <c r="K49">
        <v>0.42517545505723398</v>
      </c>
      <c r="L49">
        <v>74.986301369863014</v>
      </c>
      <c r="U49">
        <f t="shared" si="0"/>
        <v>0.27284422587511292</v>
      </c>
    </row>
    <row r="50" spans="1:21">
      <c r="A50">
        <v>119.08</v>
      </c>
      <c r="B50">
        <v>120</v>
      </c>
      <c r="C50">
        <v>9.3000000000000007</v>
      </c>
      <c r="D50">
        <v>9.5500000000000007</v>
      </c>
      <c r="E50">
        <v>238</v>
      </c>
      <c r="F50">
        <v>0.27440987061709166</v>
      </c>
      <c r="H50">
        <v>120</v>
      </c>
      <c r="I50">
        <v>14400</v>
      </c>
      <c r="J50">
        <v>0.65205479452054793</v>
      </c>
      <c r="K50">
        <v>0.42517545505723398</v>
      </c>
      <c r="L50">
        <v>78.246575342465746</v>
      </c>
      <c r="U50">
        <f t="shared" si="0"/>
        <v>0.2626186727030948</v>
      </c>
    </row>
    <row r="51" spans="1:21">
      <c r="A51">
        <v>119.08</v>
      </c>
      <c r="B51">
        <v>125</v>
      </c>
      <c r="C51">
        <v>7.05</v>
      </c>
      <c r="D51">
        <v>7.3</v>
      </c>
      <c r="E51">
        <v>238</v>
      </c>
      <c r="F51">
        <v>0.2659864304587245</v>
      </c>
      <c r="H51">
        <v>125</v>
      </c>
      <c r="I51">
        <v>15625</v>
      </c>
      <c r="J51">
        <v>0.65205479452054793</v>
      </c>
      <c r="K51">
        <v>0.42517545505723398</v>
      </c>
      <c r="L51">
        <v>81.506849315068493</v>
      </c>
      <c r="U51">
        <f t="shared" si="0"/>
        <v>0.25499771532315019</v>
      </c>
    </row>
    <row r="52" spans="1:21">
      <c r="A52">
        <v>119.08</v>
      </c>
      <c r="B52">
        <v>130</v>
      </c>
      <c r="C52">
        <v>5.2</v>
      </c>
      <c r="D52">
        <v>5.45</v>
      </c>
      <c r="E52">
        <v>238</v>
      </c>
      <c r="F52">
        <v>0.25857737753540277</v>
      </c>
      <c r="H52">
        <v>130</v>
      </c>
      <c r="I52">
        <v>16900</v>
      </c>
      <c r="J52">
        <v>0.65205479452054793</v>
      </c>
      <c r="K52">
        <v>0.42517545505723398</v>
      </c>
      <c r="L52">
        <v>84.767123287671225</v>
      </c>
      <c r="U52">
        <f t="shared" si="0"/>
        <v>0.24998135373527858</v>
      </c>
    </row>
    <row r="53" spans="1:21">
      <c r="A53">
        <v>119.08</v>
      </c>
      <c r="B53">
        <v>135</v>
      </c>
      <c r="C53">
        <v>3.75</v>
      </c>
      <c r="D53">
        <v>3.9</v>
      </c>
      <c r="E53">
        <v>238</v>
      </c>
      <c r="F53">
        <v>0.25126042310148478</v>
      </c>
      <c r="H53">
        <v>135</v>
      </c>
      <c r="I53">
        <v>18225</v>
      </c>
      <c r="J53">
        <v>0.65205479452054793</v>
      </c>
      <c r="K53">
        <v>0.42517545505723398</v>
      </c>
      <c r="L53">
        <v>88.027397260273972</v>
      </c>
      <c r="U53">
        <f t="shared" si="0"/>
        <v>0.24756958793947997</v>
      </c>
    </row>
    <row r="54" spans="1:21">
      <c r="A54">
        <v>119.08</v>
      </c>
      <c r="B54">
        <v>140</v>
      </c>
      <c r="C54">
        <v>2.67</v>
      </c>
      <c r="D54">
        <v>2.82</v>
      </c>
      <c r="E54">
        <v>238</v>
      </c>
      <c r="F54">
        <v>0.24745300877839327</v>
      </c>
      <c r="H54">
        <v>140</v>
      </c>
      <c r="I54">
        <v>19600</v>
      </c>
      <c r="J54">
        <v>0.65205479452054793</v>
      </c>
      <c r="K54">
        <v>0.42517545505723398</v>
      </c>
      <c r="L54">
        <v>91.287671232876704</v>
      </c>
      <c r="U54">
        <f t="shared" si="0"/>
        <v>0.2477624179357551</v>
      </c>
    </row>
    <row r="55" spans="1:21">
      <c r="A55">
        <v>119.08</v>
      </c>
      <c r="B55">
        <v>145</v>
      </c>
      <c r="C55">
        <v>1.82</v>
      </c>
      <c r="D55">
        <v>1.99</v>
      </c>
      <c r="E55">
        <v>238</v>
      </c>
      <c r="F55">
        <v>0.24304188322275877</v>
      </c>
      <c r="H55">
        <v>145</v>
      </c>
      <c r="I55">
        <v>21025</v>
      </c>
      <c r="J55">
        <v>0.65205479452054793</v>
      </c>
      <c r="K55">
        <v>0.42517545505723398</v>
      </c>
      <c r="L55">
        <v>94.547945205479451</v>
      </c>
      <c r="U55">
        <f t="shared" si="0"/>
        <v>0.2505598437241035</v>
      </c>
    </row>
    <row r="56" spans="1:21">
      <c r="A56">
        <v>119.08</v>
      </c>
      <c r="B56">
        <v>150</v>
      </c>
      <c r="C56">
        <v>1.24</v>
      </c>
      <c r="D56">
        <v>1.33</v>
      </c>
      <c r="E56">
        <v>238</v>
      </c>
      <c r="F56">
        <v>0.23877253290265799</v>
      </c>
      <c r="H56">
        <v>150</v>
      </c>
      <c r="I56">
        <v>22500</v>
      </c>
      <c r="J56">
        <v>0.65205479452054793</v>
      </c>
      <c r="K56">
        <v>0.42517545505723398</v>
      </c>
      <c r="L56">
        <v>97.808219178082183</v>
      </c>
      <c r="U56">
        <f t="shared" si="0"/>
        <v>0.25596186530452447</v>
      </c>
    </row>
    <row r="57" spans="1:21">
      <c r="U57">
        <f t="shared" si="0"/>
        <v>1.3117224661466174</v>
      </c>
    </row>
  </sheetData>
  <phoneticPr fontId="13" type="noConversion"/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4:AE56"/>
  <sheetViews>
    <sheetView tabSelected="1" zoomScale="68" zoomScaleNormal="85" zoomScalePageLayoutView="85" workbookViewId="0">
      <selection activeCell="W6" sqref="W6"/>
    </sheetView>
  </sheetViews>
  <sheetFormatPr defaultColWidth="8.8984375" defaultRowHeight="15.6"/>
  <cols>
    <col min="7" max="7" width="3.59765625" customWidth="1"/>
    <col min="14" max="16" width="9.09765625" bestFit="1" customWidth="1"/>
    <col min="17" max="17" width="11.8984375" bestFit="1" customWidth="1"/>
    <col min="18" max="19" width="9.09765625" bestFit="1" customWidth="1"/>
  </cols>
  <sheetData>
    <row r="4" spans="1:19">
      <c r="A4" t="s">
        <v>1</v>
      </c>
      <c r="B4" t="s">
        <v>308</v>
      </c>
      <c r="C4" t="s">
        <v>7</v>
      </c>
      <c r="D4" t="s">
        <v>8</v>
      </c>
      <c r="E4" t="s">
        <v>309</v>
      </c>
      <c r="F4" t="s">
        <v>310</v>
      </c>
      <c r="H4" t="s">
        <v>308</v>
      </c>
      <c r="I4" t="s">
        <v>312</v>
      </c>
      <c r="J4" t="s">
        <v>309</v>
      </c>
      <c r="K4" t="s">
        <v>313</v>
      </c>
      <c r="L4" t="s">
        <v>314</v>
      </c>
      <c r="N4" s="14" t="s">
        <v>315</v>
      </c>
      <c r="O4" s="14" t="s">
        <v>316</v>
      </c>
      <c r="P4" s="14" t="s">
        <v>317</v>
      </c>
      <c r="Q4" s="14" t="s">
        <v>318</v>
      </c>
      <c r="R4" s="14" t="s">
        <v>319</v>
      </c>
      <c r="S4" s="14" t="s">
        <v>320</v>
      </c>
    </row>
    <row r="5" spans="1:19">
      <c r="A5" s="13">
        <v>119.08</v>
      </c>
      <c r="B5" s="13">
        <v>90</v>
      </c>
      <c r="C5" s="13">
        <v>29</v>
      </c>
      <c r="D5" s="13">
        <v>29.15</v>
      </c>
      <c r="E5" s="13">
        <v>56</v>
      </c>
      <c r="F5">
        <v>0.41511822957545519</v>
      </c>
      <c r="H5">
        <v>90</v>
      </c>
      <c r="I5">
        <v>8100</v>
      </c>
      <c r="J5">
        <v>0.15342465753424658</v>
      </c>
      <c r="K5">
        <v>2.3539125539500848E-2</v>
      </c>
      <c r="L5">
        <v>13.808219178082192</v>
      </c>
      <c r="N5" s="14">
        <f t="array" ref="N5:S11">LINEST(F5:F56,H5:L56,TRUE,TRUE)</f>
        <v>9.0116160649931869E-4</v>
      </c>
      <c r="O5" s="14">
        <v>3.4770024870327869E-2</v>
      </c>
      <c r="P5" s="14">
        <v>-0.15275624178595196</v>
      </c>
      <c r="Q5" s="14">
        <v>5.2091915841464677E-5</v>
      </c>
      <c r="R5" s="14">
        <v>-1.4874317603303527E-2</v>
      </c>
      <c r="S5" s="14">
        <v>1.3117224661466174</v>
      </c>
    </row>
    <row r="6" spans="1:19">
      <c r="A6" s="13">
        <v>119.08</v>
      </c>
      <c r="B6" s="13">
        <v>95</v>
      </c>
      <c r="C6" s="13">
        <v>24.05</v>
      </c>
      <c r="D6" s="13">
        <v>24.3</v>
      </c>
      <c r="E6" s="13">
        <v>56</v>
      </c>
      <c r="F6">
        <v>0.36813717801123857</v>
      </c>
      <c r="H6">
        <v>95</v>
      </c>
      <c r="I6">
        <v>9025</v>
      </c>
      <c r="J6">
        <v>0.15342465753424658</v>
      </c>
      <c r="K6">
        <v>2.3539125539500848E-2</v>
      </c>
      <c r="L6">
        <v>14.575342465753426</v>
      </c>
      <c r="N6">
        <v>4.0571818728820958E-4</v>
      </c>
      <c r="O6">
        <v>4.9757981496271773E-2</v>
      </c>
      <c r="P6">
        <v>6.3516026955839633E-2</v>
      </c>
      <c r="Q6">
        <v>4.5126761888075557E-6</v>
      </c>
      <c r="R6">
        <v>1.0978524207285512E-3</v>
      </c>
      <c r="S6">
        <v>6.7357596210510587E-2</v>
      </c>
    </row>
    <row r="7" spans="1:19">
      <c r="A7" s="13">
        <v>119.08</v>
      </c>
      <c r="B7" s="13">
        <v>100</v>
      </c>
      <c r="C7" s="13">
        <v>19.3</v>
      </c>
      <c r="D7" s="13">
        <v>19.55</v>
      </c>
      <c r="E7" s="13">
        <v>56</v>
      </c>
      <c r="F7">
        <v>0.33695905935019255</v>
      </c>
      <c r="H7">
        <v>100</v>
      </c>
      <c r="I7">
        <v>10000</v>
      </c>
      <c r="J7">
        <v>0.15342465753424658</v>
      </c>
      <c r="K7">
        <v>2.3539125539500848E-2</v>
      </c>
      <c r="L7">
        <v>15.342465753424658</v>
      </c>
      <c r="N7">
        <v>0.94947287619939613</v>
      </c>
      <c r="O7">
        <v>1.0095694783276607E-2</v>
      </c>
      <c r="P7" t="e">
        <v>#N/A</v>
      </c>
      <c r="Q7" t="e">
        <v>#N/A</v>
      </c>
      <c r="R7" t="e">
        <v>#N/A</v>
      </c>
      <c r="S7" t="e">
        <v>#N/A</v>
      </c>
    </row>
    <row r="8" spans="1:19">
      <c r="A8" s="13">
        <v>119.08</v>
      </c>
      <c r="B8" s="13">
        <v>105</v>
      </c>
      <c r="C8" s="13">
        <v>14.75</v>
      </c>
      <c r="D8" s="13">
        <v>14.9</v>
      </c>
      <c r="E8" s="13">
        <v>56</v>
      </c>
      <c r="F8">
        <v>0.30529332812875509</v>
      </c>
      <c r="H8">
        <v>105</v>
      </c>
      <c r="I8">
        <v>11025</v>
      </c>
      <c r="J8">
        <v>0.15342465753424658</v>
      </c>
      <c r="K8">
        <v>2.3539125539500848E-2</v>
      </c>
      <c r="L8">
        <v>16.109589041095891</v>
      </c>
      <c r="N8">
        <v>172.88042152381627</v>
      </c>
      <c r="O8">
        <v>46</v>
      </c>
      <c r="P8" t="e">
        <v>#N/A</v>
      </c>
      <c r="Q8" t="e">
        <v>#N/A</v>
      </c>
      <c r="R8" t="e">
        <v>#N/A</v>
      </c>
      <c r="S8" t="e">
        <v>#N/A</v>
      </c>
    </row>
    <row r="9" spans="1:19">
      <c r="A9" s="13">
        <v>119.08</v>
      </c>
      <c r="B9" s="13">
        <v>110</v>
      </c>
      <c r="C9" s="13">
        <v>10.6</v>
      </c>
      <c r="D9" s="13">
        <v>10.7</v>
      </c>
      <c r="E9" s="13">
        <v>56</v>
      </c>
      <c r="F9">
        <v>0.28581649530678988</v>
      </c>
      <c r="H9">
        <v>110</v>
      </c>
      <c r="I9">
        <v>12100</v>
      </c>
      <c r="J9">
        <v>0.15342465753424658</v>
      </c>
      <c r="K9">
        <v>2.3539125539500848E-2</v>
      </c>
      <c r="L9">
        <v>16.876712328767123</v>
      </c>
      <c r="N9">
        <v>8.8102501963950322E-2</v>
      </c>
      <c r="O9">
        <v>4.6884604452256118E-3</v>
      </c>
      <c r="P9" t="e">
        <v>#N/A</v>
      </c>
      <c r="Q9" t="e">
        <v>#N/A</v>
      </c>
      <c r="R9" t="e">
        <v>#N/A</v>
      </c>
      <c r="S9" t="e">
        <v>#N/A</v>
      </c>
    </row>
    <row r="10" spans="1:19">
      <c r="A10" s="13">
        <v>119.08</v>
      </c>
      <c r="B10" s="13">
        <v>115</v>
      </c>
      <c r="C10" s="13">
        <v>7</v>
      </c>
      <c r="D10" s="13">
        <v>7.1</v>
      </c>
      <c r="E10" s="13">
        <v>56</v>
      </c>
      <c r="F10">
        <v>0.27011450845748186</v>
      </c>
      <c r="H10">
        <v>115</v>
      </c>
      <c r="I10">
        <v>13225</v>
      </c>
      <c r="J10">
        <v>0.15342465753424658</v>
      </c>
      <c r="K10">
        <v>2.3539125539500848E-2</v>
      </c>
      <c r="L10">
        <v>17.643835616438356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</row>
    <row r="11" spans="1:19">
      <c r="A11" s="13">
        <v>119.08</v>
      </c>
      <c r="B11" s="13">
        <v>120</v>
      </c>
      <c r="C11" s="13">
        <v>4.1500000000000004</v>
      </c>
      <c r="D11" s="13">
        <v>4.2</v>
      </c>
      <c r="E11" s="13">
        <v>56</v>
      </c>
      <c r="F11">
        <v>0.25523035321384668</v>
      </c>
      <c r="H11">
        <v>120</v>
      </c>
      <c r="I11">
        <v>14400</v>
      </c>
      <c r="J11">
        <v>0.15342465753424658</v>
      </c>
      <c r="K11">
        <v>2.3539125539500848E-2</v>
      </c>
      <c r="L11">
        <v>18.410958904109592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</row>
    <row r="12" spans="1:19">
      <c r="A12" s="13">
        <v>119.08</v>
      </c>
      <c r="B12" s="13">
        <v>125</v>
      </c>
      <c r="C12" s="13">
        <v>2.19</v>
      </c>
      <c r="D12" s="13">
        <v>2.2000000000000002</v>
      </c>
      <c r="E12" s="13">
        <v>56</v>
      </c>
      <c r="F12">
        <v>0.24474289733916521</v>
      </c>
      <c r="H12">
        <v>125</v>
      </c>
      <c r="I12">
        <v>15625</v>
      </c>
      <c r="J12">
        <v>0.15342465753424658</v>
      </c>
      <c r="K12">
        <v>2.3539125539500848E-2</v>
      </c>
      <c r="L12">
        <v>19.178082191780824</v>
      </c>
    </row>
    <row r="13" spans="1:19">
      <c r="A13" s="13">
        <v>119.08</v>
      </c>
      <c r="B13" s="13">
        <v>130</v>
      </c>
      <c r="C13" s="13">
        <v>1.06</v>
      </c>
      <c r="D13" s="13">
        <v>1.08</v>
      </c>
      <c r="E13" s="13">
        <v>56</v>
      </c>
      <c r="F13">
        <v>0.24170820135623217</v>
      </c>
      <c r="H13">
        <v>130</v>
      </c>
      <c r="I13">
        <v>16900</v>
      </c>
      <c r="J13">
        <v>0.15342465753424658</v>
      </c>
      <c r="K13">
        <v>2.3539125539500848E-2</v>
      </c>
      <c r="L13">
        <v>19.945205479452056</v>
      </c>
    </row>
    <row r="14" spans="1:19">
      <c r="A14" s="13">
        <v>119.08</v>
      </c>
      <c r="B14" s="13">
        <v>135</v>
      </c>
      <c r="C14" s="13">
        <v>0.48</v>
      </c>
      <c r="D14" s="13">
        <v>0.5</v>
      </c>
      <c r="E14" s="13">
        <v>56</v>
      </c>
      <c r="F14">
        <v>0.24195429403334856</v>
      </c>
      <c r="H14">
        <v>135</v>
      </c>
      <c r="I14">
        <v>18225</v>
      </c>
      <c r="J14">
        <v>0.15342465753424658</v>
      </c>
      <c r="K14">
        <v>2.3539125539500848E-2</v>
      </c>
      <c r="L14">
        <v>20.712328767123289</v>
      </c>
      <c r="N14" t="s">
        <v>322</v>
      </c>
      <c r="O14" t="s">
        <v>312</v>
      </c>
      <c r="P14" t="s">
        <v>309</v>
      </c>
      <c r="Q14" t="s">
        <v>313</v>
      </c>
      <c r="R14" t="s">
        <v>323</v>
      </c>
    </row>
    <row r="15" spans="1:19">
      <c r="A15" s="13">
        <v>119.08</v>
      </c>
      <c r="B15" s="13">
        <v>140</v>
      </c>
      <c r="C15" s="13">
        <v>0.22</v>
      </c>
      <c r="D15" s="13">
        <v>0.25</v>
      </c>
      <c r="E15" s="13">
        <v>56</v>
      </c>
      <c r="F15">
        <v>0.24831830058246851</v>
      </c>
      <c r="H15">
        <v>140</v>
      </c>
      <c r="I15">
        <v>19600</v>
      </c>
      <c r="J15">
        <v>0.15342465753424658</v>
      </c>
      <c r="K15">
        <v>2.3539125539500848E-2</v>
      </c>
      <c r="L15">
        <v>21.479452054794521</v>
      </c>
      <c r="N15">
        <v>90</v>
      </c>
      <c r="O15">
        <f>N15^2</f>
        <v>8100</v>
      </c>
      <c r="P15">
        <f>56/365</f>
        <v>0.15342465753424658</v>
      </c>
      <c r="Q15">
        <f>P15^2</f>
        <v>2.3539125539500848E-2</v>
      </c>
      <c r="R15">
        <f>N15*P15</f>
        <v>13.808219178082192</v>
      </c>
    </row>
    <row r="16" spans="1:19">
      <c r="A16" s="13">
        <v>119.08</v>
      </c>
      <c r="B16" s="13">
        <v>145</v>
      </c>
      <c r="C16" s="13">
        <v>0.11</v>
      </c>
      <c r="D16" s="13">
        <v>0.14000000000000001</v>
      </c>
      <c r="E16" s="13">
        <v>56</v>
      </c>
      <c r="F16">
        <v>0.25944441091269255</v>
      </c>
      <c r="H16">
        <v>145</v>
      </c>
      <c r="I16">
        <v>21025</v>
      </c>
      <c r="J16">
        <v>0.15342465753424658</v>
      </c>
      <c r="K16">
        <v>2.3539125539500848E-2</v>
      </c>
      <c r="L16">
        <v>22.246575342465754</v>
      </c>
    </row>
    <row r="17" spans="1:31">
      <c r="A17" s="13">
        <v>119.08</v>
      </c>
      <c r="B17" s="13">
        <v>150</v>
      </c>
      <c r="C17" s="13">
        <v>7.0000000000000007E-2</v>
      </c>
      <c r="D17" s="13">
        <v>0.09</v>
      </c>
      <c r="E17" s="13">
        <v>56</v>
      </c>
      <c r="F17">
        <v>0.27637777384370565</v>
      </c>
      <c r="H17">
        <v>150</v>
      </c>
      <c r="I17">
        <v>22500</v>
      </c>
      <c r="J17">
        <v>0.15342465753424658</v>
      </c>
      <c r="K17">
        <v>2.3539125539500848E-2</v>
      </c>
      <c r="L17">
        <v>23.013698630136986</v>
      </c>
    </row>
    <row r="18" spans="1:31">
      <c r="A18">
        <v>119.08</v>
      </c>
      <c r="B18">
        <v>90</v>
      </c>
      <c r="C18">
        <v>29.35</v>
      </c>
      <c r="D18">
        <v>29.7</v>
      </c>
      <c r="E18">
        <v>119</v>
      </c>
      <c r="F18">
        <v>0.38047262001782656</v>
      </c>
      <c r="H18">
        <v>90</v>
      </c>
      <c r="I18">
        <v>8100</v>
      </c>
      <c r="J18">
        <v>0.32602739726027397</v>
      </c>
      <c r="K18">
        <v>0.10629386376430849</v>
      </c>
      <c r="L18">
        <v>29.342465753424658</v>
      </c>
      <c r="N18">
        <f>S5+R5*N15+Q5*O15+P5*P15+O5*Q15+N5*R15</f>
        <v>0.38480371904078514</v>
      </c>
    </row>
    <row r="19" spans="1:31">
      <c r="A19">
        <v>119.08</v>
      </c>
      <c r="B19">
        <v>95</v>
      </c>
      <c r="C19">
        <v>24.75</v>
      </c>
      <c r="D19">
        <v>25.05</v>
      </c>
      <c r="E19">
        <v>119</v>
      </c>
      <c r="F19">
        <v>0.35222214180976152</v>
      </c>
      <c r="H19">
        <v>95</v>
      </c>
      <c r="I19">
        <v>9025</v>
      </c>
      <c r="J19">
        <v>0.32602739726027397</v>
      </c>
      <c r="K19">
        <v>0.10629386376430849</v>
      </c>
      <c r="L19">
        <v>30.972602739726028</v>
      </c>
      <c r="Q19" t="s">
        <v>308</v>
      </c>
    </row>
    <row r="20" spans="1:31">
      <c r="A20">
        <v>119.08</v>
      </c>
      <c r="B20">
        <v>100</v>
      </c>
      <c r="C20">
        <v>20.350000000000001</v>
      </c>
      <c r="D20">
        <v>20.6</v>
      </c>
      <c r="E20">
        <v>119</v>
      </c>
      <c r="F20">
        <v>0.32879560720175505</v>
      </c>
      <c r="H20">
        <v>100</v>
      </c>
      <c r="I20">
        <v>10000</v>
      </c>
      <c r="J20">
        <v>0.32602739726027397</v>
      </c>
      <c r="K20">
        <v>0.10629386376430849</v>
      </c>
      <c r="L20">
        <v>32.602739726027394</v>
      </c>
      <c r="O20">
        <f>N18</f>
        <v>0.38480371904078514</v>
      </c>
      <c r="P20">
        <v>90</v>
      </c>
      <c r="Q20">
        <v>100</v>
      </c>
      <c r="R20">
        <v>110</v>
      </c>
      <c r="S20">
        <v>120</v>
      </c>
      <c r="T20">
        <v>130</v>
      </c>
      <c r="U20">
        <v>140</v>
      </c>
      <c r="V20">
        <v>150</v>
      </c>
      <c r="Y20">
        <f t="shared" ref="Y20:AD20" si="0">P20</f>
        <v>90</v>
      </c>
      <c r="Z20">
        <f t="shared" si="0"/>
        <v>100</v>
      </c>
      <c r="AA20">
        <f t="shared" si="0"/>
        <v>110</v>
      </c>
      <c r="AB20">
        <f t="shared" si="0"/>
        <v>120</v>
      </c>
      <c r="AC20">
        <f t="shared" si="0"/>
        <v>130</v>
      </c>
      <c r="AD20">
        <f t="shared" si="0"/>
        <v>140</v>
      </c>
      <c r="AE20">
        <f>V20</f>
        <v>150</v>
      </c>
    </row>
    <row r="21" spans="1:31">
      <c r="A21">
        <v>119.08</v>
      </c>
      <c r="B21">
        <v>105</v>
      </c>
      <c r="C21">
        <v>16.2</v>
      </c>
      <c r="D21">
        <v>16.5</v>
      </c>
      <c r="E21">
        <v>119</v>
      </c>
      <c r="F21">
        <v>0.31024740543216467</v>
      </c>
      <c r="H21">
        <v>105</v>
      </c>
      <c r="I21">
        <v>11025</v>
      </c>
      <c r="J21">
        <v>0.32602739726027397</v>
      </c>
      <c r="K21">
        <v>0.10629386376430849</v>
      </c>
      <c r="L21">
        <v>34.232876712328768</v>
      </c>
      <c r="N21" t="s">
        <v>309</v>
      </c>
      <c r="O21">
        <v>0.1</v>
      </c>
      <c r="P21">
        <f t="dataTable" ref="P21:V30" dt2D="1" dtr="1" r1="N15" r2="P15"/>
        <v>0.38816093069376589</v>
      </c>
      <c r="Q21">
        <v>0.33929355636601277</v>
      </c>
      <c r="R21">
        <v>0.30084456520655267</v>
      </c>
      <c r="S21">
        <v>0.27281395721538537</v>
      </c>
      <c r="T21">
        <v>0.25520173239251126</v>
      </c>
      <c r="U21">
        <v>0.24800789073792989</v>
      </c>
      <c r="V21">
        <v>0.25123243225164144</v>
      </c>
      <c r="X21">
        <f t="shared" ref="X21:X30" si="1">O21</f>
        <v>0.1</v>
      </c>
      <c r="Y21">
        <f t="shared" ref="Y21:Y30" si="2">P21</f>
        <v>0.38816093069376589</v>
      </c>
      <c r="Z21">
        <f t="shared" ref="Z21:Z30" si="3">Q21</f>
        <v>0.33929355636601277</v>
      </c>
      <c r="AA21">
        <f t="shared" ref="AA21:AA30" si="4">R21</f>
        <v>0.30084456520655267</v>
      </c>
      <c r="AB21">
        <f t="shared" ref="AB21:AB30" si="5">S21</f>
        <v>0.27281395721538537</v>
      </c>
      <c r="AC21">
        <f t="shared" ref="AC21:AC30" si="6">T21</f>
        <v>0.25520173239251126</v>
      </c>
      <c r="AD21">
        <f t="shared" ref="AD21:AD30" si="7">U21</f>
        <v>0.24800789073792989</v>
      </c>
      <c r="AE21">
        <f t="shared" ref="AE21:AE30" si="8">V21</f>
        <v>0.25123243225164144</v>
      </c>
    </row>
    <row r="22" spans="1:31">
      <c r="A22">
        <v>119.08</v>
      </c>
      <c r="B22">
        <v>110</v>
      </c>
      <c r="C22">
        <v>12.5</v>
      </c>
      <c r="D22">
        <v>12.7</v>
      </c>
      <c r="E22">
        <v>119</v>
      </c>
      <c r="F22">
        <v>0.29459397774189711</v>
      </c>
      <c r="H22">
        <v>110</v>
      </c>
      <c r="I22">
        <v>12100</v>
      </c>
      <c r="J22">
        <v>0.32602739726027397</v>
      </c>
      <c r="K22">
        <v>0.10629386376430849</v>
      </c>
      <c r="L22">
        <v>35.863013698630134</v>
      </c>
      <c r="O22">
        <v>0.2</v>
      </c>
      <c r="P22">
        <v>0.38203886171977441</v>
      </c>
      <c r="Q22">
        <v>0.33407264899852057</v>
      </c>
      <c r="R22">
        <v>0.29652481944555981</v>
      </c>
      <c r="S22">
        <v>0.26939537306089179</v>
      </c>
      <c r="T22">
        <v>0.25268430984451706</v>
      </c>
      <c r="U22">
        <v>0.24639162979643497</v>
      </c>
      <c r="V22">
        <v>0.2505173329166458</v>
      </c>
      <c r="X22">
        <f t="shared" si="1"/>
        <v>0.2</v>
      </c>
      <c r="Y22">
        <f t="shared" si="2"/>
        <v>0.38203886171977441</v>
      </c>
      <c r="Z22">
        <f t="shared" si="3"/>
        <v>0.33407264899852057</v>
      </c>
      <c r="AA22">
        <f t="shared" si="4"/>
        <v>0.29652481944555981</v>
      </c>
      <c r="AB22">
        <f t="shared" si="5"/>
        <v>0.26939537306089179</v>
      </c>
      <c r="AC22">
        <f t="shared" si="6"/>
        <v>0.25268430984451706</v>
      </c>
      <c r="AD22">
        <f t="shared" si="7"/>
        <v>0.24639162979643497</v>
      </c>
      <c r="AE22">
        <f t="shared" si="8"/>
        <v>0.2505173329166458</v>
      </c>
    </row>
    <row r="23" spans="1:31">
      <c r="A23">
        <v>119.08</v>
      </c>
      <c r="B23">
        <v>115</v>
      </c>
      <c r="C23">
        <v>9.1999999999999993</v>
      </c>
      <c r="D23">
        <v>9.35</v>
      </c>
      <c r="E23">
        <v>119</v>
      </c>
      <c r="F23">
        <v>0.27971104253083467</v>
      </c>
      <c r="H23">
        <v>115</v>
      </c>
      <c r="I23">
        <v>13225</v>
      </c>
      <c r="J23">
        <v>0.32602739726027397</v>
      </c>
      <c r="K23">
        <v>0.10629386376430849</v>
      </c>
      <c r="L23">
        <v>37.493150684931507</v>
      </c>
      <c r="O23">
        <v>0.3</v>
      </c>
      <c r="P23">
        <v>0.37661219324318945</v>
      </c>
      <c r="Q23">
        <v>0.32954714212843494</v>
      </c>
      <c r="R23">
        <v>0.29290047418197351</v>
      </c>
      <c r="S23">
        <v>0.26667218940380477</v>
      </c>
      <c r="T23">
        <v>0.25086228779392938</v>
      </c>
      <c r="U23">
        <v>0.2454707693523466</v>
      </c>
      <c r="V23">
        <v>0.25049763407905679</v>
      </c>
      <c r="X23">
        <f t="shared" si="1"/>
        <v>0.3</v>
      </c>
      <c r="Y23">
        <f t="shared" si="2"/>
        <v>0.37661219324318945</v>
      </c>
      <c r="Z23">
        <f t="shared" si="3"/>
        <v>0.32954714212843494</v>
      </c>
      <c r="AA23">
        <f t="shared" si="4"/>
        <v>0.29290047418197351</v>
      </c>
      <c r="AB23">
        <f t="shared" si="5"/>
        <v>0.26667218940380477</v>
      </c>
      <c r="AC23">
        <f t="shared" si="6"/>
        <v>0.25086228779392938</v>
      </c>
      <c r="AD23">
        <f t="shared" si="7"/>
        <v>0.2454707693523466</v>
      </c>
      <c r="AE23">
        <f t="shared" si="8"/>
        <v>0.25049763407905679</v>
      </c>
    </row>
    <row r="24" spans="1:31">
      <c r="A24">
        <v>119.08</v>
      </c>
      <c r="B24">
        <v>120</v>
      </c>
      <c r="C24">
        <v>6.55</v>
      </c>
      <c r="D24">
        <v>6.65</v>
      </c>
      <c r="E24">
        <v>119</v>
      </c>
      <c r="F24">
        <v>0.27102038729935884</v>
      </c>
      <c r="H24">
        <v>120</v>
      </c>
      <c r="I24">
        <v>14400</v>
      </c>
      <c r="J24">
        <v>0.32602739726027397</v>
      </c>
      <c r="K24">
        <v>0.10629386376430849</v>
      </c>
      <c r="L24">
        <v>39.123287671232873</v>
      </c>
      <c r="O24">
        <v>0.4</v>
      </c>
      <c r="P24">
        <v>0.37188092526401112</v>
      </c>
      <c r="Q24">
        <v>0.32571703575575595</v>
      </c>
      <c r="R24">
        <v>0.28997152941579374</v>
      </c>
      <c r="S24">
        <v>0.26464440624412439</v>
      </c>
      <c r="T24">
        <v>0.24973566624074828</v>
      </c>
      <c r="U24">
        <v>0.24524530940566486</v>
      </c>
      <c r="V24">
        <v>0.25117333573887435</v>
      </c>
      <c r="X24">
        <f t="shared" si="1"/>
        <v>0.4</v>
      </c>
      <c r="Y24">
        <f t="shared" si="2"/>
        <v>0.37188092526401112</v>
      </c>
      <c r="Z24">
        <f t="shared" si="3"/>
        <v>0.32571703575575595</v>
      </c>
      <c r="AA24">
        <f t="shared" si="4"/>
        <v>0.28997152941579374</v>
      </c>
      <c r="AB24">
        <f t="shared" si="5"/>
        <v>0.26464440624412439</v>
      </c>
      <c r="AC24">
        <f t="shared" si="6"/>
        <v>0.24973566624074828</v>
      </c>
      <c r="AD24">
        <f t="shared" si="7"/>
        <v>0.24524530940566486</v>
      </c>
      <c r="AE24">
        <f t="shared" si="8"/>
        <v>0.25117333573887435</v>
      </c>
    </row>
    <row r="25" spans="1:31">
      <c r="A25">
        <v>119.08</v>
      </c>
      <c r="B25">
        <v>125</v>
      </c>
      <c r="C25">
        <v>4.3499999999999996</v>
      </c>
      <c r="D25">
        <v>4.45</v>
      </c>
      <c r="E25">
        <v>119</v>
      </c>
      <c r="F25">
        <v>0.26029567699879408</v>
      </c>
      <c r="H25">
        <v>125</v>
      </c>
      <c r="I25">
        <v>15625</v>
      </c>
      <c r="J25">
        <v>0.32602739726027397</v>
      </c>
      <c r="K25">
        <v>0.10629386376430849</v>
      </c>
      <c r="L25">
        <v>40.753424657534246</v>
      </c>
      <c r="O25">
        <v>0.5</v>
      </c>
      <c r="P25">
        <v>0.36784505778223925</v>
      </c>
      <c r="Q25">
        <v>0.32258232988048341</v>
      </c>
      <c r="R25">
        <v>0.28773798514702059</v>
      </c>
      <c r="S25">
        <v>0.26331202358185057</v>
      </c>
      <c r="T25">
        <v>0.24930444518497374</v>
      </c>
      <c r="U25">
        <v>0.24571524995638966</v>
      </c>
      <c r="V25">
        <v>0.25254443789609843</v>
      </c>
      <c r="X25">
        <f t="shared" si="1"/>
        <v>0.5</v>
      </c>
      <c r="Y25">
        <f t="shared" si="2"/>
        <v>0.36784505778223925</v>
      </c>
      <c r="Z25">
        <f t="shared" si="3"/>
        <v>0.32258232988048341</v>
      </c>
      <c r="AA25">
        <f t="shared" si="4"/>
        <v>0.28773798514702059</v>
      </c>
      <c r="AB25">
        <f t="shared" si="5"/>
        <v>0.26331202358185057</v>
      </c>
      <c r="AC25">
        <f t="shared" si="6"/>
        <v>0.24930444518497374</v>
      </c>
      <c r="AD25">
        <f t="shared" si="7"/>
        <v>0.24571524995638966</v>
      </c>
      <c r="AE25">
        <f t="shared" si="8"/>
        <v>0.25254443789609843</v>
      </c>
    </row>
    <row r="26" spans="1:31">
      <c r="A26">
        <v>119.08</v>
      </c>
      <c r="B26">
        <v>130</v>
      </c>
      <c r="C26">
        <v>2.8</v>
      </c>
      <c r="D26">
        <v>2.85</v>
      </c>
      <c r="E26">
        <v>119</v>
      </c>
      <c r="F26">
        <v>0.25377921294420958</v>
      </c>
      <c r="H26">
        <v>130</v>
      </c>
      <c r="I26">
        <v>16900</v>
      </c>
      <c r="J26">
        <v>0.32602739726027397</v>
      </c>
      <c r="K26">
        <v>0.10629386376430849</v>
      </c>
      <c r="L26">
        <v>42.383561643835613</v>
      </c>
      <c r="O26">
        <v>0.6</v>
      </c>
      <c r="P26">
        <v>0.36450459079787401</v>
      </c>
      <c r="Q26">
        <v>0.32014302450261745</v>
      </c>
      <c r="R26">
        <v>0.28619984137565396</v>
      </c>
      <c r="S26">
        <v>0.26267504141698322</v>
      </c>
      <c r="T26">
        <v>0.24956862462660576</v>
      </c>
      <c r="U26">
        <v>0.24688059100452098</v>
      </c>
      <c r="V26">
        <v>0.25461094055072908</v>
      </c>
      <c r="X26">
        <f t="shared" si="1"/>
        <v>0.6</v>
      </c>
      <c r="Y26">
        <f t="shared" si="2"/>
        <v>0.36450459079787401</v>
      </c>
      <c r="Z26">
        <f t="shared" si="3"/>
        <v>0.32014302450261745</v>
      </c>
      <c r="AA26">
        <f t="shared" si="4"/>
        <v>0.28619984137565396</v>
      </c>
      <c r="AB26">
        <f t="shared" si="5"/>
        <v>0.26267504141698322</v>
      </c>
      <c r="AC26">
        <f t="shared" si="6"/>
        <v>0.24956862462660576</v>
      </c>
      <c r="AD26">
        <f t="shared" si="7"/>
        <v>0.24688059100452098</v>
      </c>
      <c r="AE26">
        <f t="shared" si="8"/>
        <v>0.25461094055072908</v>
      </c>
    </row>
    <row r="27" spans="1:31">
      <c r="A27">
        <v>119.08</v>
      </c>
      <c r="B27">
        <v>135</v>
      </c>
      <c r="C27">
        <v>1.69</v>
      </c>
      <c r="D27">
        <v>1.77</v>
      </c>
      <c r="E27">
        <v>119</v>
      </c>
      <c r="F27">
        <v>0.24861605372279882</v>
      </c>
      <c r="H27">
        <v>135</v>
      </c>
      <c r="I27">
        <v>18225</v>
      </c>
      <c r="J27">
        <v>0.32602739726027397</v>
      </c>
      <c r="K27">
        <v>0.10629386376430849</v>
      </c>
      <c r="L27">
        <v>44.013698630136986</v>
      </c>
      <c r="O27">
        <v>0.7</v>
      </c>
      <c r="P27">
        <v>0.36185952431091528</v>
      </c>
      <c r="Q27">
        <v>0.31839911962215806</v>
      </c>
      <c r="R27">
        <v>0.28535709810169385</v>
      </c>
      <c r="S27">
        <v>0.26273345974952245</v>
      </c>
      <c r="T27">
        <v>0.25052820456564429</v>
      </c>
      <c r="U27">
        <v>0.24874133255005881</v>
      </c>
      <c r="V27">
        <v>0.25737284370276625</v>
      </c>
      <c r="X27">
        <f t="shared" si="1"/>
        <v>0.7</v>
      </c>
      <c r="Y27">
        <f t="shared" si="2"/>
        <v>0.36185952431091528</v>
      </c>
      <c r="Z27">
        <f t="shared" si="3"/>
        <v>0.31839911962215806</v>
      </c>
      <c r="AA27">
        <f t="shared" si="4"/>
        <v>0.28535709810169385</v>
      </c>
      <c r="AB27">
        <f t="shared" si="5"/>
        <v>0.26273345974952245</v>
      </c>
      <c r="AC27">
        <f t="shared" si="6"/>
        <v>0.25052820456564429</v>
      </c>
      <c r="AD27">
        <f t="shared" si="7"/>
        <v>0.24874133255005881</v>
      </c>
      <c r="AE27">
        <f t="shared" si="8"/>
        <v>0.25737284370276625</v>
      </c>
    </row>
    <row r="28" spans="1:31">
      <c r="A28">
        <v>119.08</v>
      </c>
      <c r="B28">
        <v>140</v>
      </c>
      <c r="C28">
        <v>1.01</v>
      </c>
      <c r="D28">
        <v>1.08</v>
      </c>
      <c r="E28">
        <v>119</v>
      </c>
      <c r="F28">
        <v>0.24679151829332113</v>
      </c>
      <c r="H28">
        <v>140</v>
      </c>
      <c r="I28">
        <v>19600</v>
      </c>
      <c r="J28">
        <v>0.32602739726027397</v>
      </c>
      <c r="K28">
        <v>0.10629386376430849</v>
      </c>
      <c r="L28">
        <v>45.643835616438352</v>
      </c>
      <c r="O28">
        <v>0.8</v>
      </c>
      <c r="P28">
        <v>0.35990985832136313</v>
      </c>
      <c r="Q28">
        <v>0.31735061523910524</v>
      </c>
      <c r="R28">
        <v>0.28520975532514037</v>
      </c>
      <c r="S28">
        <v>0.2634872785794683</v>
      </c>
      <c r="T28">
        <v>0.25218318500208947</v>
      </c>
      <c r="U28">
        <v>0.25129747459300328</v>
      </c>
      <c r="V28">
        <v>0.26083014735221005</v>
      </c>
      <c r="X28">
        <f t="shared" si="1"/>
        <v>0.8</v>
      </c>
      <c r="Y28">
        <f t="shared" si="2"/>
        <v>0.35990985832136313</v>
      </c>
      <c r="Z28">
        <f t="shared" si="3"/>
        <v>0.31735061523910524</v>
      </c>
      <c r="AA28">
        <f t="shared" si="4"/>
        <v>0.28520975532514037</v>
      </c>
      <c r="AB28">
        <f t="shared" si="5"/>
        <v>0.2634872785794683</v>
      </c>
      <c r="AC28">
        <f t="shared" si="6"/>
        <v>0.25218318500208947</v>
      </c>
      <c r="AD28">
        <f t="shared" si="7"/>
        <v>0.25129747459300328</v>
      </c>
      <c r="AE28">
        <f t="shared" si="8"/>
        <v>0.26083014735221005</v>
      </c>
    </row>
    <row r="29" spans="1:31">
      <c r="A29">
        <v>119.08</v>
      </c>
      <c r="B29">
        <v>145</v>
      </c>
      <c r="C29">
        <v>0.62</v>
      </c>
      <c r="D29">
        <v>0.66</v>
      </c>
      <c r="E29">
        <v>119</v>
      </c>
      <c r="F29">
        <v>0.24819867219775915</v>
      </c>
      <c r="H29">
        <v>145</v>
      </c>
      <c r="I29">
        <v>21025</v>
      </c>
      <c r="J29">
        <v>0.32602739726027397</v>
      </c>
      <c r="K29">
        <v>0.10629386376430849</v>
      </c>
      <c r="L29">
        <v>47.273972602739725</v>
      </c>
      <c r="O29">
        <v>0.9</v>
      </c>
      <c r="P29">
        <v>0.35865559282921761</v>
      </c>
      <c r="Q29">
        <v>0.31699751135345899</v>
      </c>
      <c r="R29">
        <v>0.2857578130459934</v>
      </c>
      <c r="S29">
        <v>0.26493649790682061</v>
      </c>
      <c r="T29">
        <v>0.25453356593594112</v>
      </c>
      <c r="U29">
        <v>0.25454901713335426</v>
      </c>
      <c r="V29">
        <v>0.26498285149906037</v>
      </c>
      <c r="X29">
        <f t="shared" si="1"/>
        <v>0.9</v>
      </c>
      <c r="Y29">
        <f t="shared" si="2"/>
        <v>0.35865559282921761</v>
      </c>
      <c r="Z29">
        <f t="shared" si="3"/>
        <v>0.31699751135345899</v>
      </c>
      <c r="AA29">
        <f t="shared" si="4"/>
        <v>0.2857578130459934</v>
      </c>
      <c r="AB29">
        <f t="shared" si="5"/>
        <v>0.26493649790682061</v>
      </c>
      <c r="AC29">
        <f t="shared" si="6"/>
        <v>0.25453356593594112</v>
      </c>
      <c r="AD29">
        <f t="shared" si="7"/>
        <v>0.25454901713335426</v>
      </c>
      <c r="AE29">
        <f t="shared" si="8"/>
        <v>0.26498285149906037</v>
      </c>
    </row>
    <row r="30" spans="1:31">
      <c r="A30">
        <v>119.08</v>
      </c>
      <c r="B30">
        <v>150</v>
      </c>
      <c r="C30">
        <v>0.36</v>
      </c>
      <c r="D30">
        <v>0.45</v>
      </c>
      <c r="E30">
        <v>119</v>
      </c>
      <c r="F30">
        <v>0.25221166666597128</v>
      </c>
      <c r="H30">
        <v>150</v>
      </c>
      <c r="I30">
        <v>22500</v>
      </c>
      <c r="J30">
        <v>0.32602739726027397</v>
      </c>
      <c r="K30">
        <v>0.10629386376430849</v>
      </c>
      <c r="L30">
        <v>48.904109589041092</v>
      </c>
      <c r="O30">
        <v>1</v>
      </c>
      <c r="P30">
        <v>0.35809672783447855</v>
      </c>
      <c r="Q30">
        <v>0.31733980796521927</v>
      </c>
      <c r="R30">
        <v>0.28700127126425301</v>
      </c>
      <c r="S30">
        <v>0.26708111773157961</v>
      </c>
      <c r="T30">
        <v>0.2575793473671994</v>
      </c>
      <c r="U30">
        <v>0.25849596017111187</v>
      </c>
      <c r="V30">
        <v>0.26983095614331726</v>
      </c>
      <c r="X30">
        <f t="shared" si="1"/>
        <v>1</v>
      </c>
      <c r="Y30">
        <f t="shared" si="2"/>
        <v>0.35809672783447855</v>
      </c>
      <c r="Z30">
        <f t="shared" si="3"/>
        <v>0.31733980796521927</v>
      </c>
      <c r="AA30">
        <f t="shared" si="4"/>
        <v>0.28700127126425301</v>
      </c>
      <c r="AB30">
        <f t="shared" si="5"/>
        <v>0.26708111773157961</v>
      </c>
      <c r="AC30">
        <f t="shared" si="6"/>
        <v>0.2575793473671994</v>
      </c>
      <c r="AD30">
        <f t="shared" si="7"/>
        <v>0.25849596017111187</v>
      </c>
      <c r="AE30">
        <f t="shared" si="8"/>
        <v>0.26983095614331726</v>
      </c>
    </row>
    <row r="31" spans="1:31">
      <c r="A31" s="13">
        <v>119.08</v>
      </c>
      <c r="B31" s="13">
        <v>90</v>
      </c>
      <c r="C31" s="13">
        <v>29.7</v>
      </c>
      <c r="D31" s="13">
        <v>30.05</v>
      </c>
      <c r="E31" s="13">
        <v>175</v>
      </c>
      <c r="F31">
        <v>0.35802929196506739</v>
      </c>
      <c r="H31">
        <v>90</v>
      </c>
      <c r="I31">
        <v>8100</v>
      </c>
      <c r="J31">
        <v>0.47945205479452052</v>
      </c>
      <c r="K31">
        <v>0.2298742728466879</v>
      </c>
      <c r="L31">
        <v>43.150684931506845</v>
      </c>
    </row>
    <row r="32" spans="1:31">
      <c r="A32" s="13">
        <v>119.08</v>
      </c>
      <c r="B32" s="13">
        <v>95</v>
      </c>
      <c r="C32" s="13">
        <v>25.25</v>
      </c>
      <c r="D32" s="13">
        <v>25.65</v>
      </c>
      <c r="E32" s="13">
        <v>175</v>
      </c>
      <c r="F32">
        <v>0.33718574326485395</v>
      </c>
      <c r="H32">
        <v>95</v>
      </c>
      <c r="I32">
        <v>9025</v>
      </c>
      <c r="J32">
        <v>0.47945205479452052</v>
      </c>
      <c r="K32">
        <v>0.2298742728466879</v>
      </c>
      <c r="L32">
        <v>45.547945205479451</v>
      </c>
    </row>
    <row r="33" spans="1:12">
      <c r="A33" s="13">
        <v>119.08</v>
      </c>
      <c r="B33" s="13">
        <v>100</v>
      </c>
      <c r="C33" s="13">
        <v>21</v>
      </c>
      <c r="D33" s="13">
        <v>21.35</v>
      </c>
      <c r="E33" s="13">
        <v>175</v>
      </c>
      <c r="F33">
        <v>0.31599333044141531</v>
      </c>
      <c r="H33">
        <v>100</v>
      </c>
      <c r="I33">
        <v>10000</v>
      </c>
      <c r="J33">
        <v>0.47945205479452052</v>
      </c>
      <c r="K33">
        <v>0.2298742728466879</v>
      </c>
      <c r="L33">
        <v>47.945205479452049</v>
      </c>
    </row>
    <row r="34" spans="1:12">
      <c r="A34" s="13">
        <v>119.08</v>
      </c>
      <c r="B34" s="13">
        <v>105</v>
      </c>
      <c r="C34" s="13">
        <v>17.149999999999999</v>
      </c>
      <c r="D34" s="13">
        <v>17.399999999999999</v>
      </c>
      <c r="E34" s="13">
        <v>175</v>
      </c>
      <c r="F34">
        <v>0.30159332323819399</v>
      </c>
      <c r="H34">
        <v>105</v>
      </c>
      <c r="I34">
        <v>11025</v>
      </c>
      <c r="J34">
        <v>0.47945205479452052</v>
      </c>
      <c r="K34">
        <v>0.2298742728466879</v>
      </c>
      <c r="L34">
        <v>50.342465753424655</v>
      </c>
    </row>
    <row r="35" spans="1:12">
      <c r="A35" s="13">
        <v>119.08</v>
      </c>
      <c r="B35" s="13">
        <v>110</v>
      </c>
      <c r="C35" s="13">
        <v>13.65</v>
      </c>
      <c r="D35" s="13">
        <v>13.85</v>
      </c>
      <c r="E35" s="13">
        <v>175</v>
      </c>
      <c r="F35">
        <v>0.28975703287869692</v>
      </c>
      <c r="H35">
        <v>110</v>
      </c>
      <c r="I35">
        <v>12100</v>
      </c>
      <c r="J35">
        <v>0.47945205479452052</v>
      </c>
      <c r="K35">
        <v>0.2298742728466879</v>
      </c>
      <c r="L35">
        <v>52.739726027397261</v>
      </c>
    </row>
    <row r="36" spans="1:12">
      <c r="A36" s="13">
        <v>119.08</v>
      </c>
      <c r="B36" s="13">
        <v>115</v>
      </c>
      <c r="C36" s="13">
        <v>10.5</v>
      </c>
      <c r="D36" s="13">
        <v>10.7</v>
      </c>
      <c r="E36" s="13">
        <v>175</v>
      </c>
      <c r="F36">
        <v>0.27820318471640348</v>
      </c>
      <c r="H36">
        <v>115</v>
      </c>
      <c r="I36">
        <v>13225</v>
      </c>
      <c r="J36">
        <v>0.47945205479452052</v>
      </c>
      <c r="K36">
        <v>0.2298742728466879</v>
      </c>
      <c r="L36">
        <v>55.136986301369859</v>
      </c>
    </row>
    <row r="37" spans="1:12">
      <c r="A37" s="13">
        <v>119.08</v>
      </c>
      <c r="B37" s="13">
        <v>120</v>
      </c>
      <c r="C37" s="13">
        <v>7.85</v>
      </c>
      <c r="D37" s="13">
        <v>8.0500000000000007</v>
      </c>
      <c r="E37" s="13">
        <v>175</v>
      </c>
      <c r="F37">
        <v>0.26943186763674021</v>
      </c>
      <c r="H37">
        <v>120</v>
      </c>
      <c r="I37">
        <v>14400</v>
      </c>
      <c r="J37">
        <v>0.47945205479452052</v>
      </c>
      <c r="K37">
        <v>0.2298742728466879</v>
      </c>
      <c r="L37">
        <v>57.534246575342465</v>
      </c>
    </row>
    <row r="38" spans="1:12">
      <c r="A38" s="13">
        <v>119.08</v>
      </c>
      <c r="B38" s="13">
        <v>125</v>
      </c>
      <c r="C38" s="13">
        <v>5.6</v>
      </c>
      <c r="D38" s="13">
        <v>5.8</v>
      </c>
      <c r="E38" s="13">
        <v>175</v>
      </c>
      <c r="F38">
        <v>0.25955301243811846</v>
      </c>
      <c r="H38">
        <v>125</v>
      </c>
      <c r="I38">
        <v>15625</v>
      </c>
      <c r="J38">
        <v>0.47945205479452052</v>
      </c>
      <c r="K38">
        <v>0.2298742728466879</v>
      </c>
      <c r="L38">
        <v>59.931506849315063</v>
      </c>
    </row>
    <row r="39" spans="1:12">
      <c r="A39" s="13">
        <v>119.08</v>
      </c>
      <c r="B39" s="13">
        <v>130</v>
      </c>
      <c r="C39" s="13">
        <v>3.85</v>
      </c>
      <c r="D39" s="13">
        <v>4.05</v>
      </c>
      <c r="E39" s="13">
        <v>175</v>
      </c>
      <c r="F39">
        <v>0.25174431968480349</v>
      </c>
      <c r="H39">
        <v>130</v>
      </c>
      <c r="I39">
        <v>16900</v>
      </c>
      <c r="J39">
        <v>0.47945205479452052</v>
      </c>
      <c r="K39">
        <v>0.2298742728466879</v>
      </c>
      <c r="L39">
        <v>62.328767123287669</v>
      </c>
    </row>
    <row r="40" spans="1:12">
      <c r="A40" s="13">
        <v>119.08</v>
      </c>
      <c r="B40" s="13">
        <v>135</v>
      </c>
      <c r="C40" s="13">
        <v>2.6</v>
      </c>
      <c r="D40" s="13">
        <v>2.73</v>
      </c>
      <c r="E40" s="13">
        <v>175</v>
      </c>
      <c r="F40">
        <v>0.24623165372759104</v>
      </c>
      <c r="H40">
        <v>135</v>
      </c>
      <c r="I40">
        <v>18225</v>
      </c>
      <c r="J40">
        <v>0.47945205479452052</v>
      </c>
      <c r="K40">
        <v>0.2298742728466879</v>
      </c>
      <c r="L40">
        <v>64.726027397260268</v>
      </c>
    </row>
    <row r="41" spans="1:12">
      <c r="A41" s="13">
        <v>119.08</v>
      </c>
      <c r="B41" s="13">
        <v>140</v>
      </c>
      <c r="C41" s="13">
        <v>1.68</v>
      </c>
      <c r="D41" s="13">
        <v>1.84</v>
      </c>
      <c r="E41" s="13">
        <v>175</v>
      </c>
      <c r="F41">
        <v>0.24255629163235426</v>
      </c>
      <c r="H41">
        <v>140</v>
      </c>
      <c r="I41">
        <v>19600</v>
      </c>
      <c r="J41">
        <v>0.47945205479452052</v>
      </c>
      <c r="K41">
        <v>0.2298742728466879</v>
      </c>
      <c r="L41">
        <v>67.123287671232873</v>
      </c>
    </row>
    <row r="42" spans="1:12">
      <c r="A42" s="13">
        <v>119.08</v>
      </c>
      <c r="B42" s="13">
        <v>145</v>
      </c>
      <c r="C42" s="13">
        <v>1.07</v>
      </c>
      <c r="D42" s="13">
        <v>1.23</v>
      </c>
      <c r="E42" s="13">
        <v>175</v>
      </c>
      <c r="F42">
        <v>0.24066433776170015</v>
      </c>
      <c r="H42">
        <v>145</v>
      </c>
      <c r="I42">
        <v>21025</v>
      </c>
      <c r="J42">
        <v>0.47945205479452052</v>
      </c>
      <c r="K42">
        <v>0.2298742728466879</v>
      </c>
      <c r="L42">
        <v>69.520547945205479</v>
      </c>
    </row>
    <row r="43" spans="1:12">
      <c r="A43" s="13">
        <v>119.08</v>
      </c>
      <c r="B43" s="13">
        <v>150</v>
      </c>
      <c r="C43" s="13">
        <v>0.7</v>
      </c>
      <c r="D43" s="13">
        <v>0.82</v>
      </c>
      <c r="E43" s="13">
        <v>175</v>
      </c>
      <c r="F43">
        <v>0.2410216024145484</v>
      </c>
      <c r="H43">
        <v>150</v>
      </c>
      <c r="I43">
        <v>22500</v>
      </c>
      <c r="J43">
        <v>0.47945205479452052</v>
      </c>
      <c r="K43">
        <v>0.2298742728466879</v>
      </c>
      <c r="L43">
        <v>71.917808219178085</v>
      </c>
    </row>
    <row r="44" spans="1:12">
      <c r="A44">
        <v>119.08</v>
      </c>
      <c r="B44">
        <v>90</v>
      </c>
      <c r="C44">
        <v>30.15</v>
      </c>
      <c r="D44">
        <v>30.65</v>
      </c>
      <c r="E44">
        <v>238</v>
      </c>
      <c r="F44">
        <v>0.34947108943015337</v>
      </c>
      <c r="H44">
        <v>90</v>
      </c>
      <c r="I44">
        <v>8100</v>
      </c>
      <c r="J44">
        <v>0.65205479452054793</v>
      </c>
      <c r="K44">
        <v>0.42517545505723398</v>
      </c>
      <c r="L44">
        <v>58.684931506849317</v>
      </c>
    </row>
    <row r="45" spans="1:12">
      <c r="A45">
        <v>119.08</v>
      </c>
      <c r="B45">
        <v>95</v>
      </c>
      <c r="C45">
        <v>25.9</v>
      </c>
      <c r="D45">
        <v>26.4</v>
      </c>
      <c r="E45">
        <v>238</v>
      </c>
      <c r="F45">
        <v>0.33167519140988588</v>
      </c>
      <c r="H45">
        <v>95</v>
      </c>
      <c r="I45">
        <v>9025</v>
      </c>
      <c r="J45">
        <v>0.65205479452054793</v>
      </c>
      <c r="K45">
        <v>0.42517545505723398</v>
      </c>
      <c r="L45">
        <v>61.945205479452056</v>
      </c>
    </row>
    <row r="46" spans="1:12">
      <c r="A46">
        <v>119.08</v>
      </c>
      <c r="B46">
        <v>100</v>
      </c>
      <c r="C46">
        <v>21.95</v>
      </c>
      <c r="D46">
        <v>22.4</v>
      </c>
      <c r="E46">
        <v>238</v>
      </c>
      <c r="F46">
        <v>0.31769124325364828</v>
      </c>
      <c r="H46">
        <v>100</v>
      </c>
      <c r="I46">
        <v>10000</v>
      </c>
      <c r="J46">
        <v>0.65205479452054793</v>
      </c>
      <c r="K46">
        <v>0.42517545505723398</v>
      </c>
      <c r="L46">
        <v>65.205479452054789</v>
      </c>
    </row>
    <row r="47" spans="1:12">
      <c r="A47">
        <v>119.08</v>
      </c>
      <c r="B47">
        <v>105</v>
      </c>
      <c r="C47">
        <v>18.25</v>
      </c>
      <c r="D47">
        <v>18.649999999999999</v>
      </c>
      <c r="E47">
        <v>238</v>
      </c>
      <c r="F47">
        <v>0.30434999149292707</v>
      </c>
      <c r="H47">
        <v>105</v>
      </c>
      <c r="I47">
        <v>11025</v>
      </c>
      <c r="J47">
        <v>0.65205479452054793</v>
      </c>
      <c r="K47">
        <v>0.42517545505723398</v>
      </c>
      <c r="L47">
        <v>68.465753424657535</v>
      </c>
    </row>
    <row r="48" spans="1:12">
      <c r="A48">
        <v>119.08</v>
      </c>
      <c r="B48">
        <v>110</v>
      </c>
      <c r="C48">
        <v>14.95</v>
      </c>
      <c r="D48">
        <v>15.3</v>
      </c>
      <c r="E48">
        <v>238</v>
      </c>
      <c r="F48">
        <v>0.29473756905645132</v>
      </c>
      <c r="H48">
        <v>110</v>
      </c>
      <c r="I48">
        <v>12100</v>
      </c>
      <c r="J48">
        <v>0.65205479452054793</v>
      </c>
      <c r="K48">
        <v>0.42517545505723398</v>
      </c>
      <c r="L48">
        <v>71.726027397260268</v>
      </c>
    </row>
    <row r="49" spans="1:12">
      <c r="A49">
        <v>119.08</v>
      </c>
      <c r="B49">
        <v>115</v>
      </c>
      <c r="C49">
        <v>11.95</v>
      </c>
      <c r="D49">
        <v>12.15</v>
      </c>
      <c r="E49">
        <v>238</v>
      </c>
      <c r="F49">
        <v>0.28315148781985044</v>
      </c>
      <c r="H49">
        <v>115</v>
      </c>
      <c r="I49">
        <v>13225</v>
      </c>
      <c r="J49">
        <v>0.65205479452054793</v>
      </c>
      <c r="K49">
        <v>0.42517545505723398</v>
      </c>
      <c r="L49">
        <v>74.986301369863014</v>
      </c>
    </row>
    <row r="50" spans="1:12">
      <c r="A50">
        <v>119.08</v>
      </c>
      <c r="B50">
        <v>120</v>
      </c>
      <c r="C50">
        <v>9.3000000000000007</v>
      </c>
      <c r="D50">
        <v>9.5500000000000007</v>
      </c>
      <c r="E50">
        <v>238</v>
      </c>
      <c r="F50">
        <v>0.27440987061709166</v>
      </c>
      <c r="H50">
        <v>120</v>
      </c>
      <c r="I50">
        <v>14400</v>
      </c>
      <c r="J50">
        <v>0.65205479452054793</v>
      </c>
      <c r="K50">
        <v>0.42517545505723398</v>
      </c>
      <c r="L50">
        <v>78.246575342465746</v>
      </c>
    </row>
    <row r="51" spans="1:12">
      <c r="A51">
        <v>119.08</v>
      </c>
      <c r="B51">
        <v>125</v>
      </c>
      <c r="C51">
        <v>7.05</v>
      </c>
      <c r="D51">
        <v>7.3</v>
      </c>
      <c r="E51">
        <v>238</v>
      </c>
      <c r="F51">
        <v>0.2659864304587245</v>
      </c>
      <c r="H51">
        <v>125</v>
      </c>
      <c r="I51">
        <v>15625</v>
      </c>
      <c r="J51">
        <v>0.65205479452054793</v>
      </c>
      <c r="K51">
        <v>0.42517545505723398</v>
      </c>
      <c r="L51">
        <v>81.506849315068493</v>
      </c>
    </row>
    <row r="52" spans="1:12">
      <c r="A52">
        <v>119.08</v>
      </c>
      <c r="B52">
        <v>130</v>
      </c>
      <c r="C52">
        <v>5.2</v>
      </c>
      <c r="D52">
        <v>5.45</v>
      </c>
      <c r="E52">
        <v>238</v>
      </c>
      <c r="F52">
        <v>0.25857737753540277</v>
      </c>
      <c r="H52">
        <v>130</v>
      </c>
      <c r="I52">
        <v>16900</v>
      </c>
      <c r="J52">
        <v>0.65205479452054793</v>
      </c>
      <c r="K52">
        <v>0.42517545505723398</v>
      </c>
      <c r="L52">
        <v>84.767123287671225</v>
      </c>
    </row>
    <row r="53" spans="1:12">
      <c r="A53">
        <v>119.08</v>
      </c>
      <c r="B53">
        <v>135</v>
      </c>
      <c r="C53">
        <v>3.75</v>
      </c>
      <c r="D53">
        <v>3.9</v>
      </c>
      <c r="E53">
        <v>238</v>
      </c>
      <c r="F53">
        <v>0.25126042310148478</v>
      </c>
      <c r="H53">
        <v>135</v>
      </c>
      <c r="I53">
        <v>18225</v>
      </c>
      <c r="J53">
        <v>0.65205479452054793</v>
      </c>
      <c r="K53">
        <v>0.42517545505723398</v>
      </c>
      <c r="L53">
        <v>88.027397260273972</v>
      </c>
    </row>
    <row r="54" spans="1:12">
      <c r="A54">
        <v>119.08</v>
      </c>
      <c r="B54">
        <v>140</v>
      </c>
      <c r="C54">
        <v>2.67</v>
      </c>
      <c r="D54">
        <v>2.82</v>
      </c>
      <c r="E54">
        <v>238</v>
      </c>
      <c r="F54">
        <v>0.24745300877839327</v>
      </c>
      <c r="H54">
        <v>140</v>
      </c>
      <c r="I54">
        <v>19600</v>
      </c>
      <c r="J54">
        <v>0.65205479452054793</v>
      </c>
      <c r="K54">
        <v>0.42517545505723398</v>
      </c>
      <c r="L54">
        <v>91.287671232876704</v>
      </c>
    </row>
    <row r="55" spans="1:12">
      <c r="A55">
        <v>119.08</v>
      </c>
      <c r="B55">
        <v>145</v>
      </c>
      <c r="C55">
        <v>1.82</v>
      </c>
      <c r="D55">
        <v>1.99</v>
      </c>
      <c r="E55">
        <v>238</v>
      </c>
      <c r="F55">
        <v>0.24304188322275877</v>
      </c>
      <c r="H55">
        <v>145</v>
      </c>
      <c r="I55">
        <v>21025</v>
      </c>
      <c r="J55">
        <v>0.65205479452054793</v>
      </c>
      <c r="K55">
        <v>0.42517545505723398</v>
      </c>
      <c r="L55">
        <v>94.547945205479451</v>
      </c>
    </row>
    <row r="56" spans="1:12">
      <c r="A56">
        <v>119.08</v>
      </c>
      <c r="B56">
        <v>150</v>
      </c>
      <c r="C56">
        <v>1.24</v>
      </c>
      <c r="D56">
        <v>1.33</v>
      </c>
      <c r="E56">
        <v>238</v>
      </c>
      <c r="F56">
        <v>0.23877253290265799</v>
      </c>
      <c r="H56">
        <v>150</v>
      </c>
      <c r="I56">
        <v>22500</v>
      </c>
      <c r="J56">
        <v>0.65205479452054793</v>
      </c>
      <c r="K56">
        <v>0.42517545505723398</v>
      </c>
      <c r="L56">
        <v>97.808219178082183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Oct 30 2015</vt:lpstr>
      <vt:lpstr>Nov 17, 2015</vt:lpstr>
      <vt:lpstr>Dec 18, 2015</vt:lpstr>
      <vt:lpstr>February 19, 2016</vt:lpstr>
      <vt:lpstr>April 15, 2016</vt:lpstr>
      <vt:lpstr>June 17, 2016</vt:lpstr>
      <vt:lpstr>Refine 1</vt:lpstr>
      <vt:lpstr>Refine 2</vt:lpstr>
      <vt:lpstr>Refine 3</vt:lpstr>
      <vt:lpstr>Refine 4</vt:lpstr>
      <vt:lpstr>Refine 5</vt:lpstr>
      <vt:lpstr>Estimating Dumas Fleming Whaley</vt:lpstr>
      <vt:lpstr>Surface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Byrne</dc:creator>
  <cp:keywords/>
  <dc:description/>
  <cp:lastModifiedBy>Aditya Bakshi</cp:lastModifiedBy>
  <cp:revision/>
  <dcterms:created xsi:type="dcterms:W3CDTF">2015-10-23T20:12:28Z</dcterms:created>
  <dcterms:modified xsi:type="dcterms:W3CDTF">2024-10-27T00:07:43Z</dcterms:modified>
  <cp:category/>
  <cp:contentStatus/>
</cp:coreProperties>
</file>